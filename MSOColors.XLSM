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A871" lockStructure="1" lockWindows="1"/>
  <bookViews>
    <workbookView xWindow="600" yWindow="390" windowWidth="20025" windowHeight="8505" activeTab="3"/>
  </bookViews>
  <sheets>
    <sheet name="XLRangeLib_WW" sheetId="2" r:id="rId1"/>
    <sheet name="wsWWXLAppErrors" sheetId="3" r:id="rId2"/>
    <sheet name="Index of Named Ranges" sheetId="4" r:id="rId3"/>
    <sheet name="ColorIndex versus Color Picker" sheetId="1" r:id="rId4"/>
  </sheets>
  <functionGroups builtInGroupCount="17"/>
  <definedNames>
    <definedName name="Display_Format_ID">'ColorIndex versus Color Picker'!$O$13</definedName>
    <definedName name="Display_Format_IDs">'ColorIndex versus Color Picker'!$M$13</definedName>
    <definedName name="Display_Formats_Map_Data">'ColorIndex versus Color Picker'!$F$14:$M$18</definedName>
    <definedName name="Display_Formats_Map_Labels">'ColorIndex versus Color Picker'!$F$13:$M$13</definedName>
    <definedName name="Index_of_Supported_Display_Fromats">'ColorIndex versus Color Picker'!$M$14:$M$18</definedName>
    <definedName name="rngWWXLAppDefaultModuleName" localSheetId="1">wsWWXLAppErrors!$G$3</definedName>
    <definedName name="rngWWXLAppDefaultModuleName" localSheetId="0">XLRangeLib_WW!$G$3</definedName>
    <definedName name="rngWWXLAppExceptionList" localSheetId="1">wsWWXLAppErrors!$A$2:$D$7</definedName>
    <definedName name="rngWWXLAppExceptionList" localSheetId="0">XLRangeLib_WW!$A$2:$D$17</definedName>
    <definedName name="rngWWXLAppProjectName" localSheetId="1">wsWWXLAppErrors!$G$2</definedName>
    <definedName name="rngWWXLAppProjectName" localSheetId="0">XLRangeLib_WW!$G$2</definedName>
    <definedName name="rngWWXLAppStartingErrorNumber" localSheetId="1">wsWWXLAppErrors!$G$1</definedName>
    <definedName name="rngWWXLAppStartingErrorNumber" localSheetId="0">XLRangeLib_WW!$G$1</definedName>
    <definedName name="Select_Display_Fromat">'ColorIndex versus Color Picker'!$F$13:$F$13</definedName>
    <definedName name="Supported_Display_Fromats">'ColorIndex versus Color Picker'!$F$14:$F$19</definedName>
  </definedNames>
  <calcPr calcId="145621"/>
</workbook>
</file>

<file path=xl/calcChain.xml><?xml version="1.0" encoding="utf-8"?>
<calcChain xmlns="http://schemas.openxmlformats.org/spreadsheetml/2006/main">
  <c r="O18" i="1" l="1"/>
  <c r="O17" i="1"/>
  <c r="O16" i="1"/>
  <c r="O15" i="1"/>
  <c r="O14" i="1"/>
  <c r="N18" i="1"/>
  <c r="N17" i="1"/>
  <c r="N16" i="1"/>
  <c r="N15" i="1"/>
  <c r="N14" i="1"/>
  <c r="D2" i="4"/>
  <c r="E2" i="4"/>
  <c r="D3" i="4"/>
  <c r="E3" i="4"/>
  <c r="D4" i="4"/>
  <c r="E4" i="4"/>
  <c r="D5" i="4"/>
  <c r="E5" i="4"/>
  <c r="D6" i="4"/>
  <c r="E6" i="4"/>
  <c r="D7" i="4"/>
  <c r="E7" i="4"/>
  <c r="D8" i="4"/>
  <c r="E8" i="4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C14" i="4"/>
  <c r="D14" i="4"/>
  <c r="E14" i="4"/>
  <c r="F14" i="4"/>
  <c r="G14" i="4"/>
  <c r="H14" i="4"/>
  <c r="C15" i="4"/>
  <c r="D15" i="4"/>
  <c r="E15" i="4"/>
  <c r="F15" i="4"/>
  <c r="G15" i="4"/>
  <c r="H15" i="4"/>
  <c r="C16" i="4"/>
  <c r="D16" i="4"/>
  <c r="E16" i="4"/>
  <c r="F16" i="4"/>
  <c r="G16" i="4"/>
  <c r="H16" i="4"/>
  <c r="C17" i="4"/>
  <c r="D17" i="4"/>
  <c r="E17" i="4"/>
  <c r="F17" i="4"/>
  <c r="G17" i="4"/>
  <c r="H17" i="4"/>
  <c r="C18" i="4"/>
  <c r="D18" i="4"/>
  <c r="E18" i="4"/>
  <c r="F18" i="4"/>
  <c r="G18" i="4"/>
  <c r="H18" i="4"/>
  <c r="C19" i="4"/>
  <c r="D19" i="4"/>
  <c r="E19" i="4"/>
  <c r="F19" i="4"/>
  <c r="G19" i="4"/>
  <c r="H19" i="4"/>
  <c r="C20" i="4"/>
  <c r="D20" i="4"/>
  <c r="E20" i="4"/>
  <c r="F20" i="4"/>
  <c r="G20" i="4"/>
  <c r="H20" i="4"/>
  <c r="C21" i="4"/>
  <c r="D21" i="4"/>
  <c r="E21" i="4"/>
  <c r="F21" i="4"/>
  <c r="G21" i="4"/>
  <c r="H21" i="4"/>
  <c r="C22" i="4"/>
  <c r="D22" i="4"/>
  <c r="E22" i="4"/>
  <c r="F22" i="4"/>
  <c r="G22" i="4"/>
  <c r="H22" i="4"/>
  <c r="G3" i="4"/>
  <c r="F7" i="4"/>
  <c r="G7" i="4"/>
  <c r="F3" i="4"/>
  <c r="F2" i="4"/>
  <c r="G6" i="4"/>
  <c r="G5" i="4"/>
  <c r="C4" i="4"/>
  <c r="C8" i="4"/>
  <c r="F8" i="4"/>
  <c r="F5" i="4"/>
  <c r="G4" i="4"/>
  <c r="C3" i="4"/>
  <c r="C7" i="4"/>
  <c r="F6" i="4"/>
  <c r="G8" i="4"/>
  <c r="C6" i="4"/>
  <c r="F4" i="4"/>
  <c r="G2" i="4"/>
  <c r="C5" i="4"/>
  <c r="H8" i="4" l="1"/>
  <c r="H7" i="4"/>
  <c r="H6" i="4"/>
  <c r="H5" i="4"/>
  <c r="H4" i="4"/>
  <c r="H3" i="4"/>
  <c r="H2" i="4"/>
  <c r="M14" i="1"/>
  <c r="M15" i="1" s="1"/>
  <c r="M16" i="1" s="1"/>
  <c r="M17" i="1" s="1"/>
  <c r="M18" i="1" s="1"/>
  <c r="B2" i="3" l="1"/>
  <c r="A3" i="3"/>
  <c r="B3" i="3" s="1"/>
  <c r="A4" i="3"/>
  <c r="B4" i="3" s="1"/>
  <c r="A5" i="3"/>
  <c r="B5" i="3" s="1"/>
  <c r="A6" i="3"/>
  <c r="B6" i="3" s="1"/>
  <c r="A7" i="3"/>
  <c r="B2" i="2"/>
  <c r="A3" i="2"/>
  <c r="B3" i="2"/>
  <c r="A4" i="2"/>
  <c r="B4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O13" i="1" l="1"/>
  <c r="I3" i="1"/>
  <c r="J3" i="1"/>
  <c r="D6" i="1"/>
  <c r="J7" i="1"/>
  <c r="C5" i="1"/>
  <c r="K5" i="1"/>
  <c r="I6" i="1"/>
  <c r="G7" i="1"/>
  <c r="E8" i="1"/>
  <c r="C9" i="1"/>
  <c r="K9" i="1"/>
  <c r="F6" i="1"/>
  <c r="L7" i="1"/>
  <c r="F9" i="1"/>
  <c r="C11" i="1"/>
  <c r="K11" i="1"/>
  <c r="J11" i="1"/>
  <c r="G3" i="1"/>
  <c r="H3" i="1"/>
  <c r="J5" i="1"/>
  <c r="F7" i="1"/>
  <c r="L8" i="1"/>
  <c r="I5" i="1"/>
  <c r="G6" i="1"/>
  <c r="E7" i="1"/>
  <c r="C8" i="1"/>
  <c r="K8" i="1"/>
  <c r="I9" i="1"/>
  <c r="L5" i="1"/>
  <c r="H7" i="1"/>
  <c r="D9" i="1"/>
  <c r="L9" i="1"/>
  <c r="I11" i="1"/>
  <c r="H11" i="1"/>
  <c r="C2" i="4"/>
  <c r="E3" i="1"/>
  <c r="F3" i="1"/>
  <c r="F5" i="1"/>
  <c r="L6" i="1"/>
  <c r="H8" i="1"/>
  <c r="G5" i="1"/>
  <c r="E6" i="1"/>
  <c r="C7" i="1"/>
  <c r="K7" i="1"/>
  <c r="I8" i="1"/>
  <c r="G9" i="1"/>
  <c r="H5" i="1"/>
  <c r="D7" i="1"/>
  <c r="J8" i="1"/>
  <c r="J9" i="1"/>
  <c r="G11" i="1"/>
  <c r="F11" i="1"/>
  <c r="D3" i="1"/>
  <c r="K3" i="1"/>
  <c r="L3" i="1"/>
  <c r="H6" i="1"/>
  <c r="D8" i="1"/>
  <c r="E5" i="1"/>
  <c r="C6" i="1"/>
  <c r="K6" i="1"/>
  <c r="I7" i="1"/>
  <c r="G8" i="1"/>
  <c r="E9" i="1"/>
  <c r="D5" i="1"/>
  <c r="J6" i="1"/>
  <c r="F8" i="1"/>
  <c r="H9" i="1"/>
  <c r="E11" i="1"/>
  <c r="D11" i="1"/>
  <c r="L11" i="1"/>
  <c r="C3" i="1"/>
</calcChain>
</file>

<file path=xl/sharedStrings.xml><?xml version="1.0" encoding="utf-8"?>
<sst xmlns="http://schemas.openxmlformats.org/spreadsheetml/2006/main" count="101" uniqueCount="71">
  <si>
    <t>Standard Excel Color Picker</t>
  </si>
  <si>
    <t>Theme Colors</t>
  </si>
  <si>
    <t>Standard Colors</t>
  </si>
  <si>
    <t>Undefined or unexpected exception number.</t>
  </si>
  <si>
    <t>Undetermined</t>
  </si>
  <si>
    <t>Requested range extends beyond last column of input range.</t>
  </si>
  <si>
    <t>rngCellsFromRng_P6C</t>
  </si>
  <si>
    <t>Requested range extends beyond last row of input range.</t>
  </si>
  <si>
    <t>Input range prngIn is null (Nothing, undefined).</t>
  </si>
  <si>
    <t>Argument value plngUpperLeftCol &gt; argument value plngLowerRightCol.</t>
  </si>
  <si>
    <t>Argument value plngUpperLeftRow &gt; argument value plngLowerRightRow.</t>
  </si>
  <si>
    <t>Argument pintLowerRightCol is invalid.</t>
  </si>
  <si>
    <t>Argument plngLowerRightRow is invalid.</t>
  </si>
  <si>
    <t>Argument pintUpperLeftCol is invalid.</t>
  </si>
  <si>
    <t>Argument plngUpperLeftRow is invalid.</t>
  </si>
  <si>
    <t>Number of rows in input and output ranges must be identical.</t>
  </si>
  <si>
    <t>lngCopyCellValues_P6C</t>
  </si>
  <si>
    <t>Number of columns in input and output ranges must be identical.</t>
  </si>
  <si>
    <t>Argument pstrRangeName refers to an invalid range.</t>
  </si>
  <si>
    <t>rngRangeFromName</t>
  </si>
  <si>
    <t xml:space="preserve">vbObjectError </t>
  </si>
  <si>
    <t>Error Constant Name</t>
  </si>
  <si>
    <t>Argument pstrRangeName is blank.</t>
  </si>
  <si>
    <t>XLSUtils_P6C</t>
  </si>
  <si>
    <t>Module Name</t>
  </si>
  <si>
    <t>Argument pstrSheetName refers to an invalid worhskeet.</t>
  </si>
  <si>
    <t>InspectionReportCompiler</t>
  </si>
  <si>
    <t>Project Name</t>
  </si>
  <si>
    <t>Argument pstrSheetName is blank.</t>
  </si>
  <si>
    <t>Starting Error Number</t>
  </si>
  <si>
    <t>Message</t>
  </si>
  <si>
    <t>Function</t>
  </si>
  <si>
    <t>Number</t>
  </si>
  <si>
    <t>Index</t>
  </si>
  <si>
    <t>This is an internal program error or a worksheet design error. The marker text cannot be found in the column that contains the upper left corner of the marker range.</t>
  </si>
  <si>
    <t>DeleteExtraRows</t>
  </si>
  <si>
    <t>This is an internal program error or a worksheet design error. Range pstrMarkerRangeName is undefined.</t>
  </si>
  <si>
    <t>This is an internal program error. Argument pstrMarkerRangeName is an empty string. It must be the name of a Worksheet Range in the active worksheet.</t>
  </si>
  <si>
    <t>ThisWorkbook</t>
  </si>
  <si>
    <t>This is an internal program error. Argument pstrMarkerText is an empty string. It must contain test that can be found below the selected cell in the active worksheet.</t>
  </si>
  <si>
    <t>TimeSheet_WW</t>
  </si>
  <si>
    <t>This is an internal program error. Argument pwks must be a reference to a valid Worksheet object.</t>
  </si>
  <si>
    <t>Select Display Fromat</t>
  </si>
  <si>
    <t>Hexadecimal String</t>
  </si>
  <si>
    <t>Hexadecimal Triplet, Space Delimited</t>
  </si>
  <si>
    <t>Decimal Triplet, Space Delimited</t>
  </si>
  <si>
    <t>Hexadecimal Triplet, Comma Delimited</t>
  </si>
  <si>
    <t>Decimal Triplet, Comma Delimited</t>
  </si>
  <si>
    <t>Supported_Display_Fromats</t>
  </si>
  <si>
    <t>Index_of_Supported_Display_Fromats</t>
  </si>
  <si>
    <t>Display_Format_ID</t>
  </si>
  <si>
    <t>Cells</t>
  </si>
  <si>
    <t>Columns</t>
  </si>
  <si>
    <t>Rows</t>
  </si>
  <si>
    <t>Address</t>
  </si>
  <si>
    <t>Sheet</t>
  </si>
  <si>
    <t>Origin Cell Contents</t>
  </si>
  <si>
    <t>Absolute Address</t>
  </si>
  <si>
    <t>Name</t>
  </si>
  <si>
    <t>='ColorIndex versus Color Picker'!$O$13</t>
  </si>
  <si>
    <t>Display_Format_IDs</t>
  </si>
  <si>
    <t>='ColorIndex versus Color Picker'!$M$13</t>
  </si>
  <si>
    <t>Display_Formats_Map_Data</t>
  </si>
  <si>
    <t>='ColorIndex versus Color Picker'!$F$14:$M$18</t>
  </si>
  <si>
    <t>Display_Formats_Map_Labels</t>
  </si>
  <si>
    <t>='ColorIndex versus Color Picker'!$F$13:$M$13</t>
  </si>
  <si>
    <t>='ColorIndex versus Color Picker'!$M$14:$M$18</t>
  </si>
  <si>
    <t>Select_Display_Fromat</t>
  </si>
  <si>
    <t>='ColorIndex versus Color Picker'!$F$15:$F$19</t>
  </si>
  <si>
    <t>Selected Display Format Name</t>
  </si>
  <si>
    <t>='ColorIndex versus Color Picker'!$F$13:$F$13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</si>
</sst>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onsolas"/>
      <family val="2"/>
    </font>
    <font>
      <b/>
      <sz val="14"/>
      <color theme="9" tint="-0.499984740745262"/>
      <name val="Tahoma"/>
      <family val="2"/>
    </font>
    <font>
      <b/>
      <sz val="14"/>
      <color theme="1"/>
      <name val="Tahoma"/>
      <family val="2"/>
    </font>
    <font>
      <sz val="11"/>
      <color theme="1"/>
      <name val="Tahoma"/>
      <family val="2"/>
    </font>
    <font>
      <b/>
      <sz val="12"/>
      <color indexed="43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onsolas"/>
      <family val="3"/>
    </font>
    <font>
      <b/>
      <sz val="11"/>
      <name val="Tahoma"/>
      <family val="2"/>
    </font>
    <font>
      <b/>
      <sz val="14"/>
      <color rgb="FF002060"/>
      <name val="Tahoma"/>
      <family val="2"/>
    </font>
    <font>
      <sz val="10"/>
      <name val="Tahoma"/>
    </font>
    <font>
      <sz val="9"/>
      <name val="Tahoma"/>
      <family val="2"/>
    </font>
    <font>
      <sz val="9"/>
      <name val="Courier New"/>
      <family val="3"/>
    </font>
    <font>
      <b/>
      <sz val="14"/>
      <color theme="0"/>
      <name val="Tahoma"/>
      <family val="2"/>
    </font>
    <font>
      <b/>
      <sz val="14"/>
      <name val="Tahoma"/>
      <family val="2"/>
    </font>
    <font>
      <b/>
      <sz val="14"/>
      <color theme="5" tint="0.79998168889431442"/>
      <name val="Tahoma"/>
      <family val="2"/>
    </font>
    <font>
      <sz val="11"/>
      <color rgb="FF002060"/>
      <name val="Tahoma"/>
      <family val="2"/>
    </font>
  </fonts>
  <fills count="7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2499465926084170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/>
      </top>
      <bottom style="thin">
        <color theme="1" tint="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4" fillId="14" borderId="2"/>
    <xf numFmtId="0" fontId="5" fillId="0" borderId="0" applyNumberFormat="0" applyFill="0" applyBorder="0" applyAlignment="0" applyProtection="0"/>
    <xf numFmtId="0" fontId="6" fillId="0" borderId="0"/>
    <xf numFmtId="0" fontId="7" fillId="0" borderId="0"/>
    <xf numFmtId="0" fontId="8" fillId="0" borderId="0"/>
    <xf numFmtId="0" fontId="10" fillId="0" borderId="0"/>
  </cellStyleXfs>
  <cellXfs count="98">
    <xf numFmtId="0" fontId="0" fillId="0" borderId="0" xfId="0"/>
    <xf numFmtId="0" fontId="1" fillId="2" borderId="2" xfId="0" applyFont="1" applyFill="1" applyBorder="1"/>
    <xf numFmtId="0" fontId="1" fillId="3" borderId="2" xfId="0" applyFont="1" applyFill="1" applyBorder="1"/>
    <xf numFmtId="0" fontId="2" fillId="4" borderId="2" xfId="0" applyFont="1" applyFill="1" applyBorder="1"/>
    <xf numFmtId="0" fontId="2" fillId="16" borderId="2" xfId="0" applyFont="1" applyFill="1" applyBorder="1"/>
    <xf numFmtId="0" fontId="10" fillId="0" borderId="0" xfId="6"/>
    <xf numFmtId="0" fontId="11" fillId="0" borderId="2" xfId="6" applyFont="1" applyFill="1" applyBorder="1"/>
    <xf numFmtId="0" fontId="10" fillId="0" borderId="2" xfId="6" applyBorder="1"/>
    <xf numFmtId="0" fontId="12" fillId="0" borderId="2" xfId="6" applyFont="1" applyBorder="1"/>
    <xf numFmtId="0" fontId="11" fillId="0" borderId="2" xfId="6" applyFont="1" applyBorder="1"/>
    <xf numFmtId="0" fontId="12" fillId="0" borderId="0" xfId="6" applyFont="1" applyBorder="1"/>
    <xf numFmtId="0" fontId="12" fillId="0" borderId="0" xfId="6" applyFont="1"/>
    <xf numFmtId="0" fontId="4" fillId="59" borderId="0" xfId="6" applyFont="1" applyFill="1"/>
    <xf numFmtId="0" fontId="11" fillId="0" borderId="2" xfId="6" applyFont="1" applyFill="1" applyBorder="1" applyAlignment="1">
      <alignment vertical="top" wrapText="1"/>
    </xf>
    <xf numFmtId="0" fontId="10" fillId="0" borderId="2" xfId="6" applyBorder="1" applyAlignment="1">
      <alignment vertical="top"/>
    </xf>
    <xf numFmtId="0" fontId="12" fillId="0" borderId="2" xfId="6" applyFont="1" applyBorder="1" applyAlignment="1">
      <alignment vertical="top"/>
    </xf>
    <xf numFmtId="0" fontId="11" fillId="0" borderId="2" xfId="6" applyFont="1" applyBorder="1" applyAlignment="1">
      <alignment vertical="top" wrapText="1"/>
    </xf>
    <xf numFmtId="0" fontId="9" fillId="0" borderId="1" xfId="0" applyFont="1" applyBorder="1"/>
    <xf numFmtId="49" fontId="2" fillId="5" borderId="2" xfId="0" applyNumberFormat="1" applyFont="1" applyFill="1" applyBorder="1"/>
    <xf numFmtId="49" fontId="2" fillId="17" borderId="2" xfId="0" applyNumberFormat="1" applyFont="1" applyFill="1" applyBorder="1"/>
    <xf numFmtId="49" fontId="2" fillId="23" borderId="2" xfId="0" applyNumberFormat="1" applyFont="1" applyFill="1" applyBorder="1"/>
    <xf numFmtId="49" fontId="2" fillId="29" borderId="2" xfId="0" applyNumberFormat="1" applyFont="1" applyFill="1" applyBorder="1"/>
    <xf numFmtId="49" fontId="2" fillId="3" borderId="2" xfId="0" applyNumberFormat="1" applyFont="1" applyFill="1" applyBorder="1"/>
    <xf numFmtId="49" fontId="2" fillId="18" borderId="2" xfId="0" applyNumberFormat="1" applyFont="1" applyFill="1" applyBorder="1"/>
    <xf numFmtId="49" fontId="2" fillId="24" borderId="2" xfId="0" applyNumberFormat="1" applyFont="1" applyFill="1" applyBorder="1"/>
    <xf numFmtId="49" fontId="2" fillId="30" borderId="2" xfId="0" applyNumberFormat="1" applyFont="1" applyFill="1" applyBorder="1"/>
    <xf numFmtId="49" fontId="2" fillId="6" borderId="2" xfId="0" applyNumberFormat="1" applyFont="1" applyFill="1" applyBorder="1"/>
    <xf numFmtId="49" fontId="2" fillId="19" borderId="2" xfId="0" applyNumberFormat="1" applyFont="1" applyFill="1" applyBorder="1"/>
    <xf numFmtId="49" fontId="2" fillId="25" borderId="2" xfId="0" applyNumberFormat="1" applyFont="1" applyFill="1" applyBorder="1"/>
    <xf numFmtId="49" fontId="2" fillId="31" borderId="2" xfId="0" applyNumberFormat="1" applyFont="1" applyFill="1" applyBorder="1"/>
    <xf numFmtId="49" fontId="13" fillId="64" borderId="2" xfId="0" applyNumberFormat="1" applyFont="1" applyFill="1" applyBorder="1"/>
    <xf numFmtId="49" fontId="13" fillId="65" borderId="2" xfId="0" applyNumberFormat="1" applyFont="1" applyFill="1" applyBorder="1"/>
    <xf numFmtId="49" fontId="2" fillId="66" borderId="2" xfId="0" applyNumberFormat="1" applyFont="1" applyFill="1" applyBorder="1"/>
    <xf numFmtId="49" fontId="2" fillId="67" borderId="2" xfId="0" applyNumberFormat="1" applyFont="1" applyFill="1" applyBorder="1"/>
    <xf numFmtId="49" fontId="2" fillId="68" borderId="2" xfId="0" applyNumberFormat="1" applyFont="1" applyFill="1" applyBorder="1"/>
    <xf numFmtId="49" fontId="13" fillId="69" borderId="2" xfId="0" applyNumberFormat="1" applyFont="1" applyFill="1" applyBorder="1"/>
    <xf numFmtId="49" fontId="2" fillId="70" borderId="2" xfId="0" applyNumberFormat="1" applyFont="1" applyFill="1" applyBorder="1"/>
    <xf numFmtId="49" fontId="13" fillId="71" borderId="2" xfId="0" applyNumberFormat="1" applyFont="1" applyFill="1" applyBorder="1"/>
    <xf numFmtId="49" fontId="14" fillId="35" borderId="2" xfId="0" applyNumberFormat="1" applyFont="1" applyFill="1" applyBorder="1"/>
    <xf numFmtId="49" fontId="2" fillId="41" borderId="2" xfId="0" applyNumberFormat="1" applyFont="1" applyFill="1" applyBorder="1"/>
    <xf numFmtId="49" fontId="2" fillId="47" borderId="2" xfId="0" applyNumberFormat="1" applyFont="1" applyFill="1" applyBorder="1"/>
    <xf numFmtId="49" fontId="2" fillId="53" borderId="2" xfId="0" applyNumberFormat="1" applyFont="1" applyFill="1" applyBorder="1"/>
    <xf numFmtId="49" fontId="2" fillId="2" borderId="2" xfId="0" applyNumberFormat="1" applyFont="1" applyFill="1" applyBorder="1"/>
    <xf numFmtId="49" fontId="2" fillId="36" borderId="2" xfId="0" applyNumberFormat="1" applyFont="1" applyFill="1" applyBorder="1"/>
    <xf numFmtId="49" fontId="2" fillId="42" borderId="2" xfId="0" applyNumberFormat="1" applyFont="1" applyFill="1" applyBorder="1"/>
    <xf numFmtId="49" fontId="2" fillId="48" borderId="2" xfId="0" applyNumberFormat="1" applyFont="1" applyFill="1" applyBorder="1"/>
    <xf numFmtId="49" fontId="2" fillId="54" borderId="2" xfId="0" applyNumberFormat="1" applyFont="1" applyFill="1" applyBorder="1"/>
    <xf numFmtId="49" fontId="2" fillId="60" borderId="2" xfId="0" applyNumberFormat="1" applyFont="1" applyFill="1" applyBorder="1"/>
    <xf numFmtId="49" fontId="2" fillId="37" borderId="2" xfId="0" applyNumberFormat="1" applyFont="1" applyFill="1" applyBorder="1"/>
    <xf numFmtId="49" fontId="2" fillId="43" borderId="2" xfId="0" applyNumberFormat="1" applyFont="1" applyFill="1" applyBorder="1"/>
    <xf numFmtId="49" fontId="2" fillId="49" borderId="2" xfId="0" applyNumberFormat="1" applyFont="1" applyFill="1" applyBorder="1"/>
    <xf numFmtId="49" fontId="2" fillId="55" borderId="2" xfId="0" applyNumberFormat="1" applyFont="1" applyFill="1" applyBorder="1"/>
    <xf numFmtId="49" fontId="2" fillId="61" borderId="2" xfId="0" applyNumberFormat="1" applyFont="1" applyFill="1" applyBorder="1"/>
    <xf numFmtId="49" fontId="13" fillId="72" borderId="2" xfId="0" applyNumberFormat="1" applyFont="1" applyFill="1" applyBorder="1"/>
    <xf numFmtId="49" fontId="13" fillId="73" borderId="2" xfId="0" applyNumberFormat="1" applyFont="1" applyFill="1" applyBorder="1"/>
    <xf numFmtId="49" fontId="13" fillId="7" borderId="2" xfId="0" applyNumberFormat="1" applyFont="1" applyFill="1" applyBorder="1"/>
    <xf numFmtId="49" fontId="13" fillId="13" borderId="2" xfId="0" applyNumberFormat="1" applyFont="1" applyFill="1" applyBorder="1"/>
    <xf numFmtId="49" fontId="13" fillId="20" borderId="2" xfId="0" applyNumberFormat="1" applyFont="1" applyFill="1" applyBorder="1"/>
    <xf numFmtId="49" fontId="13" fillId="26" borderId="2" xfId="0" applyNumberFormat="1" applyFont="1" applyFill="1" applyBorder="1"/>
    <xf numFmtId="49" fontId="13" fillId="32" borderId="2" xfId="0" applyNumberFormat="1" applyFont="1" applyFill="1" applyBorder="1"/>
    <xf numFmtId="49" fontId="13" fillId="38" borderId="2" xfId="0" applyNumberFormat="1" applyFont="1" applyFill="1" applyBorder="1"/>
    <xf numFmtId="49" fontId="13" fillId="44" borderId="2" xfId="0" applyNumberFormat="1" applyFont="1" applyFill="1" applyBorder="1"/>
    <xf numFmtId="49" fontId="13" fillId="50" borderId="2" xfId="0" applyNumberFormat="1" applyFont="1" applyFill="1" applyBorder="1"/>
    <xf numFmtId="49" fontId="13" fillId="56" borderId="2" xfId="0" applyNumberFormat="1" applyFont="1" applyFill="1" applyBorder="1"/>
    <xf numFmtId="49" fontId="13" fillId="62" borderId="2" xfId="0" applyNumberFormat="1" applyFont="1" applyFill="1" applyBorder="1"/>
    <xf numFmtId="49" fontId="13" fillId="8" borderId="2" xfId="0" applyNumberFormat="1" applyFont="1" applyFill="1" applyBorder="1"/>
    <xf numFmtId="49" fontId="13" fillId="15" borderId="2" xfId="0" applyNumberFormat="1" applyFont="1" applyFill="1" applyBorder="1"/>
    <xf numFmtId="49" fontId="13" fillId="21" borderId="2" xfId="0" applyNumberFormat="1" applyFont="1" applyFill="1" applyBorder="1"/>
    <xf numFmtId="49" fontId="13" fillId="27" borderId="2" xfId="0" applyNumberFormat="1" applyFont="1" applyFill="1" applyBorder="1"/>
    <xf numFmtId="49" fontId="13" fillId="33" borderId="2" xfId="0" applyNumberFormat="1" applyFont="1" applyFill="1" applyBorder="1"/>
    <xf numFmtId="49" fontId="13" fillId="39" borderId="2" xfId="0" applyNumberFormat="1" applyFont="1" applyFill="1" applyBorder="1"/>
    <xf numFmtId="49" fontId="13" fillId="45" borderId="2" xfId="0" applyNumberFormat="1" applyFont="1" applyFill="1" applyBorder="1"/>
    <xf numFmtId="49" fontId="13" fillId="51" borderId="2" xfId="0" applyNumberFormat="1" applyFont="1" applyFill="1" applyBorder="1"/>
    <xf numFmtId="49" fontId="13" fillId="57" borderId="2" xfId="0" applyNumberFormat="1" applyFont="1" applyFill="1" applyBorder="1"/>
    <xf numFmtId="49" fontId="13" fillId="63" borderId="2" xfId="0" applyNumberFormat="1" applyFont="1" applyFill="1" applyBorder="1"/>
    <xf numFmtId="0" fontId="13" fillId="9" borderId="2" xfId="0" applyFont="1" applyFill="1" applyBorder="1"/>
    <xf numFmtId="0" fontId="13" fillId="22" borderId="2" xfId="0" applyFont="1" applyFill="1" applyBorder="1"/>
    <xf numFmtId="0" fontId="13" fillId="28" borderId="2" xfId="0" applyFont="1" applyFill="1" applyBorder="1"/>
    <xf numFmtId="49" fontId="15" fillId="34" borderId="2" xfId="0" applyNumberFormat="1" applyFont="1" applyFill="1" applyBorder="1"/>
    <xf numFmtId="0" fontId="2" fillId="52" borderId="2" xfId="0" applyFont="1" applyFill="1" applyBorder="1"/>
    <xf numFmtId="0" fontId="2" fillId="58" borderId="2" xfId="0" applyFont="1" applyFill="1" applyBorder="1"/>
    <xf numFmtId="0" fontId="13" fillId="40" borderId="2" xfId="0" applyFont="1" applyFill="1" applyBorder="1"/>
    <xf numFmtId="0" fontId="13" fillId="46" borderId="2" xfId="0" applyFont="1" applyFill="1" applyBorder="1"/>
    <xf numFmtId="49" fontId="13" fillId="10" borderId="2" xfId="0" applyNumberFormat="1" applyFont="1" applyFill="1" applyBorder="1"/>
    <xf numFmtId="49" fontId="13" fillId="11" borderId="2" xfId="0" applyNumberFormat="1" applyFont="1" applyFill="1" applyBorder="1"/>
    <xf numFmtId="49" fontId="13" fillId="12" borderId="2" xfId="0" applyNumberFormat="1" applyFont="1" applyFill="1" applyBorder="1"/>
    <xf numFmtId="0" fontId="3" fillId="0" borderId="2" xfId="0" applyFont="1" applyBorder="1"/>
    <xf numFmtId="3" fontId="0" fillId="0" borderId="5" xfId="0" applyNumberFormat="1" applyBorder="1" applyAlignment="1">
      <alignment vertical="top"/>
    </xf>
    <xf numFmtId="0" fontId="0" fillId="0" borderId="5" xfId="0" applyBorder="1" applyAlignment="1">
      <alignment vertical="top"/>
    </xf>
    <xf numFmtId="3" fontId="0" fillId="0" borderId="6" xfId="0" applyNumberFormat="1" applyBorder="1" applyAlignment="1">
      <alignment vertical="top"/>
    </xf>
    <xf numFmtId="0" fontId="0" fillId="0" borderId="6" xfId="0" applyBorder="1" applyAlignment="1">
      <alignment vertical="top"/>
    </xf>
    <xf numFmtId="0" fontId="13" fillId="74" borderId="7" xfId="0" applyFont="1" applyFill="1" applyBorder="1"/>
    <xf numFmtId="0" fontId="16" fillId="0" borderId="1" xfId="0" applyFont="1" applyBorder="1" applyProtection="1">
      <protection locked="0"/>
    </xf>
    <xf numFmtId="0" fontId="0" fillId="0" borderId="2" xfId="0" applyBorder="1"/>
    <xf numFmtId="0" fontId="9" fillId="0" borderId="3" xfId="0" applyFont="1" applyBorder="1"/>
    <xf numFmtId="0" fontId="9" fillId="0" borderId="1" xfId="0" applyFont="1" applyBorder="1"/>
    <xf numFmtId="0" fontId="3" fillId="0" borderId="4" xfId="0" applyFont="1" applyBorder="1"/>
    <xf numFmtId="0" fontId="3" fillId="0" borderId="0" xfId="0" applyFont="1"/>
  </cellXfs>
  <cellStyles count="7">
    <cellStyle name="Column_Label" xfId="1"/>
    <cellStyle name="Hyperlink 2" xfId="2"/>
    <cellStyle name="Normal" xfId="0" builtinId="0"/>
    <cellStyle name="Normal 2" xfId="3"/>
    <cellStyle name="Normal 3" xfId="4"/>
    <cellStyle name="Normal_Inspection_Report_Workbook" xfId="6"/>
    <cellStyle name="Row_Label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DAVE\Documents\Articles_2015\Report_Design_and_Layout_Conventions\images\Office_2010_Color_Palette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123825</xdr:rowOff>
    </xdr:from>
    <xdr:to>
      <xdr:col>0</xdr:col>
      <xdr:colOff>2591390</xdr:colOff>
      <xdr:row>18</xdr:row>
      <xdr:rowOff>149951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950" y="1104900"/>
          <a:ext cx="2591390" cy="31884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8"/>
  </sheetPr>
  <dimension ref="A1:G17"/>
  <sheetViews>
    <sheetView windowProtection="1" workbookViewId="0">
      <pane xSplit="1" ySplit="1" topLeftCell="B2" activePane="bottomRight" state="frozen"/>
      <selection activeCell="C23" sqref="C23"/>
      <selection pane="topRight" activeCell="C23" sqref="C23"/>
      <selection pane="bottomLeft" activeCell="C23" sqref="C23"/>
      <selection pane="bottomRight" activeCell="A24" sqref="A24"/>
    </sheetView>
  </sheetViews>
  <sheetFormatPr defaultRowHeight="12.75" x14ac:dyDescent="0.2"/>
  <cols>
    <col min="1" max="1" width="10.125" style="5" bestFit="1" customWidth="1"/>
    <col min="2" max="2" width="10.5" style="5" bestFit="1" customWidth="1"/>
    <col min="3" max="3" width="19.625" style="5" bestFit="1" customWidth="1"/>
    <col min="4" max="4" width="53.875" style="5" bestFit="1" customWidth="1"/>
    <col min="5" max="5" width="3.125" style="5" customWidth="1"/>
    <col min="6" max="6" width="19.625" style="5" bestFit="1" customWidth="1"/>
    <col min="7" max="7" width="22.375" style="5" bestFit="1" customWidth="1"/>
    <col min="8" max="16384" width="9" style="5"/>
  </cols>
  <sheetData>
    <row r="1" spans="1:7" ht="15" x14ac:dyDescent="0.2">
      <c r="A1" s="12" t="s">
        <v>33</v>
      </c>
      <c r="B1" s="12" t="s">
        <v>32</v>
      </c>
      <c r="C1" s="12" t="s">
        <v>31</v>
      </c>
      <c r="D1" s="12" t="s">
        <v>30</v>
      </c>
      <c r="E1" s="11"/>
      <c r="F1" s="8" t="s">
        <v>29</v>
      </c>
      <c r="G1" s="8">
        <v>513</v>
      </c>
    </row>
    <row r="2" spans="1:7" x14ac:dyDescent="0.2">
      <c r="A2" s="8">
        <v>0</v>
      </c>
      <c r="B2" s="8">
        <f t="shared" ref="B2:B16" si="0">+$G$1+A2</f>
        <v>513</v>
      </c>
      <c r="C2" s="8" t="s">
        <v>19</v>
      </c>
      <c r="D2" s="9" t="s">
        <v>28</v>
      </c>
      <c r="E2" s="11"/>
      <c r="F2" s="7" t="s">
        <v>27</v>
      </c>
      <c r="G2" s="8" t="s">
        <v>26</v>
      </c>
    </row>
    <row r="3" spans="1:7" x14ac:dyDescent="0.2">
      <c r="A3" s="8">
        <f t="shared" ref="A3:A17" si="1">+A2+1</f>
        <v>1</v>
      </c>
      <c r="B3" s="8">
        <f t="shared" si="0"/>
        <v>514</v>
      </c>
      <c r="C3" s="8" t="s">
        <v>19</v>
      </c>
      <c r="D3" s="9" t="s">
        <v>25</v>
      </c>
      <c r="E3" s="11"/>
      <c r="F3" s="7" t="s">
        <v>24</v>
      </c>
      <c r="G3" s="8" t="s">
        <v>23</v>
      </c>
    </row>
    <row r="4" spans="1:7" x14ac:dyDescent="0.2">
      <c r="A4" s="8">
        <f t="shared" si="1"/>
        <v>2</v>
      </c>
      <c r="B4" s="8">
        <f t="shared" si="0"/>
        <v>515</v>
      </c>
      <c r="C4" s="8" t="s">
        <v>19</v>
      </c>
      <c r="D4" s="9" t="s">
        <v>22</v>
      </c>
      <c r="F4" s="8" t="s">
        <v>21</v>
      </c>
      <c r="G4" s="8" t="s">
        <v>20</v>
      </c>
    </row>
    <row r="5" spans="1:7" x14ac:dyDescent="0.2">
      <c r="A5" s="8">
        <f t="shared" si="1"/>
        <v>3</v>
      </c>
      <c r="B5" s="8">
        <f t="shared" si="0"/>
        <v>516</v>
      </c>
      <c r="C5" s="8" t="s">
        <v>19</v>
      </c>
      <c r="D5" s="9" t="s">
        <v>18</v>
      </c>
      <c r="F5" s="10"/>
      <c r="G5" s="10"/>
    </row>
    <row r="6" spans="1:7" x14ac:dyDescent="0.2">
      <c r="A6" s="8">
        <f t="shared" si="1"/>
        <v>4</v>
      </c>
      <c r="B6" s="8">
        <f t="shared" si="0"/>
        <v>517</v>
      </c>
      <c r="C6" s="8" t="s">
        <v>16</v>
      </c>
      <c r="D6" s="9" t="s">
        <v>17</v>
      </c>
      <c r="F6" s="10"/>
      <c r="G6" s="10"/>
    </row>
    <row r="7" spans="1:7" x14ac:dyDescent="0.2">
      <c r="A7" s="8">
        <f t="shared" si="1"/>
        <v>5</v>
      </c>
      <c r="B7" s="8">
        <f t="shared" si="0"/>
        <v>518</v>
      </c>
      <c r="C7" s="8" t="s">
        <v>16</v>
      </c>
      <c r="D7" s="9" t="s">
        <v>15</v>
      </c>
      <c r="F7" s="10"/>
      <c r="G7" s="10"/>
    </row>
    <row r="8" spans="1:7" x14ac:dyDescent="0.2">
      <c r="A8" s="8">
        <f t="shared" si="1"/>
        <v>6</v>
      </c>
      <c r="B8" s="8">
        <f t="shared" si="0"/>
        <v>519</v>
      </c>
      <c r="C8" s="8" t="s">
        <v>6</v>
      </c>
      <c r="D8" s="9" t="s">
        <v>14</v>
      </c>
      <c r="F8" s="10"/>
      <c r="G8" s="10"/>
    </row>
    <row r="9" spans="1:7" x14ac:dyDescent="0.2">
      <c r="A9" s="8">
        <f t="shared" si="1"/>
        <v>7</v>
      </c>
      <c r="B9" s="8">
        <f t="shared" si="0"/>
        <v>520</v>
      </c>
      <c r="C9" s="8" t="s">
        <v>6</v>
      </c>
      <c r="D9" s="9" t="s">
        <v>13</v>
      </c>
      <c r="F9" s="10"/>
      <c r="G9" s="10"/>
    </row>
    <row r="10" spans="1:7" x14ac:dyDescent="0.2">
      <c r="A10" s="8">
        <f t="shared" si="1"/>
        <v>8</v>
      </c>
      <c r="B10" s="8">
        <f t="shared" si="0"/>
        <v>521</v>
      </c>
      <c r="C10" s="8" t="s">
        <v>6</v>
      </c>
      <c r="D10" s="9" t="s">
        <v>12</v>
      </c>
      <c r="F10" s="10"/>
      <c r="G10" s="10"/>
    </row>
    <row r="11" spans="1:7" x14ac:dyDescent="0.2">
      <c r="A11" s="8">
        <f t="shared" si="1"/>
        <v>9</v>
      </c>
      <c r="B11" s="8">
        <f t="shared" si="0"/>
        <v>522</v>
      </c>
      <c r="C11" s="8" t="s">
        <v>6</v>
      </c>
      <c r="D11" s="9" t="s">
        <v>11</v>
      </c>
      <c r="F11" s="10"/>
      <c r="G11" s="10"/>
    </row>
    <row r="12" spans="1:7" x14ac:dyDescent="0.2">
      <c r="A12" s="8">
        <f t="shared" si="1"/>
        <v>10</v>
      </c>
      <c r="B12" s="8">
        <f t="shared" si="0"/>
        <v>523</v>
      </c>
      <c r="C12" s="8" t="s">
        <v>6</v>
      </c>
      <c r="D12" s="9" t="s">
        <v>10</v>
      </c>
    </row>
    <row r="13" spans="1:7" x14ac:dyDescent="0.2">
      <c r="A13" s="8">
        <f t="shared" si="1"/>
        <v>11</v>
      </c>
      <c r="B13" s="8">
        <f t="shared" si="0"/>
        <v>524</v>
      </c>
      <c r="C13" s="8" t="s">
        <v>6</v>
      </c>
      <c r="D13" s="9" t="s">
        <v>9</v>
      </c>
    </row>
    <row r="14" spans="1:7" x14ac:dyDescent="0.2">
      <c r="A14" s="8">
        <f t="shared" si="1"/>
        <v>12</v>
      </c>
      <c r="B14" s="8">
        <f t="shared" si="0"/>
        <v>525</v>
      </c>
      <c r="C14" s="8" t="s">
        <v>6</v>
      </c>
      <c r="D14" s="9" t="s">
        <v>8</v>
      </c>
    </row>
    <row r="15" spans="1:7" x14ac:dyDescent="0.2">
      <c r="A15" s="8">
        <f t="shared" si="1"/>
        <v>13</v>
      </c>
      <c r="B15" s="8">
        <f t="shared" si="0"/>
        <v>526</v>
      </c>
      <c r="C15" s="8" t="s">
        <v>6</v>
      </c>
      <c r="D15" s="9" t="s">
        <v>7</v>
      </c>
    </row>
    <row r="16" spans="1:7" x14ac:dyDescent="0.2">
      <c r="A16" s="8">
        <f t="shared" si="1"/>
        <v>14</v>
      </c>
      <c r="B16" s="8">
        <f t="shared" si="0"/>
        <v>527</v>
      </c>
      <c r="C16" s="8" t="s">
        <v>6</v>
      </c>
      <c r="D16" s="9" t="s">
        <v>5</v>
      </c>
    </row>
    <row r="17" spans="1:4" x14ac:dyDescent="0.2">
      <c r="A17" s="8">
        <f t="shared" si="1"/>
        <v>15</v>
      </c>
      <c r="B17" s="7">
        <v>32767</v>
      </c>
      <c r="C17" s="7" t="s">
        <v>4</v>
      </c>
      <c r="D17" s="6" t="s">
        <v>3</v>
      </c>
    </row>
  </sheetData>
  <sheetProtection password="A871" sheet="1" objects="1" scenario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8"/>
  </sheetPr>
  <dimension ref="A1:G9"/>
  <sheetViews>
    <sheetView windowProtection="1" workbookViewId="0">
      <pane xSplit="1" ySplit="1" topLeftCell="B2" activePane="bottomRight" state="frozen"/>
      <selection pane="topRight"/>
      <selection pane="bottomLeft"/>
      <selection pane="bottomRight" activeCell="D11" sqref="D11"/>
    </sheetView>
  </sheetViews>
  <sheetFormatPr defaultRowHeight="12.75" x14ac:dyDescent="0.2"/>
  <cols>
    <col min="1" max="1" width="10.125" style="5" bestFit="1" customWidth="1"/>
    <col min="2" max="2" width="10.5" style="5" bestFit="1" customWidth="1"/>
    <col min="3" max="3" width="20.5" style="5" bestFit="1" customWidth="1"/>
    <col min="4" max="4" width="61.75" style="5" bestFit="1" customWidth="1"/>
    <col min="5" max="5" width="3.125" style="5" customWidth="1"/>
    <col min="6" max="6" width="19.625" style="5" bestFit="1" customWidth="1"/>
    <col min="7" max="7" width="22.375" style="5" bestFit="1" customWidth="1"/>
    <col min="8" max="16384" width="9" style="5"/>
  </cols>
  <sheetData>
    <row r="1" spans="1:7" ht="15" x14ac:dyDescent="0.2">
      <c r="A1" s="12" t="s">
        <v>33</v>
      </c>
      <c r="B1" s="12" t="s">
        <v>32</v>
      </c>
      <c r="C1" s="12" t="s">
        <v>31</v>
      </c>
      <c r="D1" s="12" t="s">
        <v>30</v>
      </c>
      <c r="E1" s="11"/>
      <c r="F1" s="15" t="s">
        <v>29</v>
      </c>
      <c r="G1" s="15">
        <v>1024</v>
      </c>
    </row>
    <row r="2" spans="1:7" ht="22.5" x14ac:dyDescent="0.2">
      <c r="A2" s="15">
        <v>1</v>
      </c>
      <c r="B2" s="15">
        <f>+$G$1+A2</f>
        <v>1025</v>
      </c>
      <c r="C2" s="15" t="s">
        <v>35</v>
      </c>
      <c r="D2" s="16" t="s">
        <v>41</v>
      </c>
      <c r="E2" s="11"/>
      <c r="F2" s="14" t="s">
        <v>27</v>
      </c>
      <c r="G2" s="15" t="s">
        <v>40</v>
      </c>
    </row>
    <row r="3" spans="1:7" ht="22.5" x14ac:dyDescent="0.2">
      <c r="A3" s="15">
        <f>+A2+1</f>
        <v>2</v>
      </c>
      <c r="B3" s="15">
        <f>+$G$1+A3</f>
        <v>1026</v>
      </c>
      <c r="C3" s="15" t="s">
        <v>35</v>
      </c>
      <c r="D3" s="16" t="s">
        <v>39</v>
      </c>
      <c r="E3" s="11"/>
      <c r="F3" s="14" t="s">
        <v>24</v>
      </c>
      <c r="G3" s="15" t="s">
        <v>38</v>
      </c>
    </row>
    <row r="4" spans="1:7" ht="22.5" x14ac:dyDescent="0.2">
      <c r="A4" s="15">
        <f>+A3+1</f>
        <v>3</v>
      </c>
      <c r="B4" s="15">
        <f>+$G$1+A4</f>
        <v>1027</v>
      </c>
      <c r="C4" s="15" t="s">
        <v>35</v>
      </c>
      <c r="D4" s="16" t="s">
        <v>37</v>
      </c>
      <c r="F4" s="15" t="s">
        <v>21</v>
      </c>
      <c r="G4" s="15" t="s">
        <v>20</v>
      </c>
    </row>
    <row r="5" spans="1:7" ht="22.5" x14ac:dyDescent="0.2">
      <c r="A5" s="15">
        <f>+A4+1</f>
        <v>4</v>
      </c>
      <c r="B5" s="15">
        <f>+$G$1+A5</f>
        <v>1028</v>
      </c>
      <c r="C5" s="15" t="s">
        <v>35</v>
      </c>
      <c r="D5" s="16" t="s">
        <v>36</v>
      </c>
      <c r="F5" s="10"/>
      <c r="G5" s="10"/>
    </row>
    <row r="6" spans="1:7" ht="22.5" x14ac:dyDescent="0.2">
      <c r="A6" s="15">
        <f>+A5+1</f>
        <v>5</v>
      </c>
      <c r="B6" s="15">
        <f>+$G$1+A6</f>
        <v>1029</v>
      </c>
      <c r="C6" s="15" t="s">
        <v>35</v>
      </c>
      <c r="D6" s="16" t="s">
        <v>34</v>
      </c>
      <c r="F6" s="10"/>
      <c r="G6" s="10"/>
    </row>
    <row r="7" spans="1:7" x14ac:dyDescent="0.2">
      <c r="A7" s="15">
        <f>+A5+1</f>
        <v>5</v>
      </c>
      <c r="B7" s="14">
        <v>32767</v>
      </c>
      <c r="C7" s="14" t="s">
        <v>4</v>
      </c>
      <c r="D7" s="13" t="s">
        <v>3</v>
      </c>
      <c r="F7" s="10"/>
      <c r="G7" s="10"/>
    </row>
    <row r="8" spans="1:7" x14ac:dyDescent="0.2">
      <c r="F8" s="10"/>
      <c r="G8" s="10"/>
    </row>
    <row r="9" spans="1:7" x14ac:dyDescent="0.2">
      <c r="F9" s="10"/>
      <c r="G9" s="10"/>
    </row>
  </sheetData>
  <sheetProtection password="A871" sheet="1" objects="1" scenario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H22"/>
  <sheetViews>
    <sheetView windowProtection="1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A12" sqref="A12"/>
    </sheetView>
  </sheetViews>
  <sheetFormatPr defaultRowHeight="15" x14ac:dyDescent="0.25"/>
  <cols>
    <col min="1" max="1" width="30.5" bestFit="1" customWidth="1"/>
    <col min="2" max="2" width="47" bestFit="1" customWidth="1"/>
    <col min="3" max="3" width="37.75" bestFit="1" customWidth="1"/>
    <col min="4" max="4" width="24.25" bestFit="1" customWidth="1"/>
    <col min="5" max="5" width="10.875" bestFit="1" customWidth="1"/>
    <col min="6" max="6" width="7.75" bestFit="1" customWidth="1"/>
    <col min="7" max="7" width="11.5" bestFit="1" customWidth="1"/>
    <col min="8" max="8" width="6.875" bestFit="1" customWidth="1"/>
  </cols>
  <sheetData>
    <row r="1" spans="1:8" ht="18" x14ac:dyDescent="0.25">
      <c r="A1" s="91" t="s">
        <v>58</v>
      </c>
      <c r="B1" s="91" t="s">
        <v>57</v>
      </c>
      <c r="C1" s="91" t="s">
        <v>56</v>
      </c>
      <c r="D1" s="91" t="s">
        <v>55</v>
      </c>
      <c r="E1" s="91" t="s">
        <v>54</v>
      </c>
      <c r="F1" s="91" t="s">
        <v>53</v>
      </c>
      <c r="G1" s="91" t="s">
        <v>52</v>
      </c>
      <c r="H1" s="91" t="s">
        <v>51</v>
      </c>
    </row>
    <row r="2" spans="1:8" x14ac:dyDescent="0.25">
      <c r="A2" s="90" t="s">
        <v>50</v>
      </c>
      <c r="B2" s="90" t="s">
        <v>59</v>
      </c>
      <c r="C2" s="90">
        <f t="shared" ref="C2:C22" ca="1" si="0">IF(LEN($A2)&gt;0,CELL("contents",OFFSET(INDIRECT($A2),0,0)),"")</f>
        <v>1</v>
      </c>
      <c r="D2" s="90" t="str">
        <f t="shared" ref="D2:D22" si="1">IF(LEN($B2)&gt;0,SUBSTITUTE(MID($B2,2,FIND("!",$B2)-2),"'",""),"")</f>
        <v>ColorIndex versus Color Picker</v>
      </c>
      <c r="E2" s="90" t="str">
        <f t="shared" ref="E2:E22" si="2">IF(LEN($B2)&gt;0,RIGHT($B2,LEN($B2)-FIND("!",$B2)),"")</f>
        <v>$O$13</v>
      </c>
      <c r="F2" s="89">
        <f t="shared" ref="F2:F22" ca="1" si="3">IF(LEN($A2)&gt;0,ROWS(INDIRECT($A2)),"")</f>
        <v>1</v>
      </c>
      <c r="G2" s="89">
        <f t="shared" ref="G2:G22" ca="1" si="4">IF(LEN($A2)&gt;0,COLUMNS(INDIRECT($A2)),"")</f>
        <v>1</v>
      </c>
      <c r="H2" s="89">
        <f t="shared" ref="H2:H22" ca="1" si="5">IF(LEN($A2)&gt;0,F2*G2,"")</f>
        <v>1</v>
      </c>
    </row>
    <row r="3" spans="1:8" x14ac:dyDescent="0.25">
      <c r="A3" s="88" t="s">
        <v>60</v>
      </c>
      <c r="B3" s="88" t="s">
        <v>61</v>
      </c>
      <c r="C3" s="88" t="str">
        <f t="shared" ca="1" si="0"/>
        <v>Index_of_Supported_Display_Fromats</v>
      </c>
      <c r="D3" s="88" t="str">
        <f t="shared" si="1"/>
        <v>ColorIndex versus Color Picker</v>
      </c>
      <c r="E3" s="88" t="str">
        <f t="shared" si="2"/>
        <v>$M$13</v>
      </c>
      <c r="F3" s="87">
        <f t="shared" ca="1" si="3"/>
        <v>1</v>
      </c>
      <c r="G3" s="87">
        <f t="shared" ca="1" si="4"/>
        <v>1</v>
      </c>
      <c r="H3" s="87">
        <f t="shared" ca="1" si="5"/>
        <v>1</v>
      </c>
    </row>
    <row r="4" spans="1:8" x14ac:dyDescent="0.25">
      <c r="A4" s="88" t="s">
        <v>62</v>
      </c>
      <c r="B4" s="88" t="s">
        <v>63</v>
      </c>
      <c r="C4" s="88" t="str">
        <f t="shared" ca="1" si="0"/>
        <v>Hexadecimal String</v>
      </c>
      <c r="D4" s="88" t="str">
        <f t="shared" si="1"/>
        <v>ColorIndex versus Color Picker</v>
      </c>
      <c r="E4" s="88" t="str">
        <f t="shared" si="2"/>
        <v>$F$14:$M$18</v>
      </c>
      <c r="F4" s="87">
        <f t="shared" ca="1" si="3"/>
        <v>5</v>
      </c>
      <c r="G4" s="87">
        <f t="shared" ca="1" si="4"/>
        <v>8</v>
      </c>
      <c r="H4" s="87">
        <f t="shared" ca="1" si="5"/>
        <v>40</v>
      </c>
    </row>
    <row r="5" spans="1:8" x14ac:dyDescent="0.25">
      <c r="A5" s="88" t="s">
        <v>64</v>
      </c>
      <c r="B5" s="88" t="s">
        <v>65</v>
      </c>
      <c r="C5" s="88" t="str">
        <f t="shared" ca="1" si="0"/>
        <v>Hexadecimal String</v>
      </c>
      <c r="D5" s="88" t="str">
        <f t="shared" si="1"/>
        <v>ColorIndex versus Color Picker</v>
      </c>
      <c r="E5" s="88" t="str">
        <f t="shared" si="2"/>
        <v>$F$13:$M$13</v>
      </c>
      <c r="F5" s="87">
        <f t="shared" ca="1" si="3"/>
        <v>1</v>
      </c>
      <c r="G5" s="87">
        <f t="shared" ca="1" si="4"/>
        <v>8</v>
      </c>
      <c r="H5" s="87">
        <f t="shared" ca="1" si="5"/>
        <v>8</v>
      </c>
    </row>
    <row r="6" spans="1:8" x14ac:dyDescent="0.25">
      <c r="A6" s="88" t="s">
        <v>49</v>
      </c>
      <c r="B6" s="88" t="s">
        <v>66</v>
      </c>
      <c r="C6" s="88">
        <f t="shared" ca="1" si="0"/>
        <v>1</v>
      </c>
      <c r="D6" s="88" t="str">
        <f t="shared" si="1"/>
        <v>ColorIndex versus Color Picker</v>
      </c>
      <c r="E6" s="88" t="str">
        <f t="shared" si="2"/>
        <v>$M$14:$M$18</v>
      </c>
      <c r="F6" s="87">
        <f t="shared" ca="1" si="3"/>
        <v>5</v>
      </c>
      <c r="G6" s="87">
        <f t="shared" ca="1" si="4"/>
        <v>1</v>
      </c>
      <c r="H6" s="87">
        <f t="shared" ca="1" si="5"/>
        <v>5</v>
      </c>
    </row>
    <row r="7" spans="1:8" x14ac:dyDescent="0.25">
      <c r="A7" s="88" t="s">
        <v>67</v>
      </c>
      <c r="B7" s="88" t="s">
        <v>70</v>
      </c>
      <c r="C7" s="88" t="str">
        <f t="shared" ca="1" si="0"/>
        <v>Hexadecimal String</v>
      </c>
      <c r="D7" s="88" t="str">
        <f t="shared" si="1"/>
        <v>ColorIndex versus Color Picker</v>
      </c>
      <c r="E7" s="88" t="str">
        <f t="shared" si="2"/>
        <v>$F$13:$F$13</v>
      </c>
      <c r="F7" s="87">
        <f t="shared" ca="1" si="3"/>
        <v>1</v>
      </c>
      <c r="G7" s="87">
        <f t="shared" ca="1" si="4"/>
        <v>1</v>
      </c>
      <c r="H7" s="87">
        <f t="shared" ca="1" si="5"/>
        <v>1</v>
      </c>
    </row>
    <row r="8" spans="1:8" x14ac:dyDescent="0.25">
      <c r="A8" s="88" t="s">
        <v>48</v>
      </c>
      <c r="B8" s="88" t="s">
        <v>68</v>
      </c>
      <c r="C8" s="88" t="str">
        <f t="shared" ca="1" si="0"/>
        <v>Hexadecimal String</v>
      </c>
      <c r="D8" s="88" t="str">
        <f t="shared" si="1"/>
        <v>ColorIndex versus Color Picker</v>
      </c>
      <c r="E8" s="88" t="str">
        <f t="shared" si="2"/>
        <v>$F$15:$F$19</v>
      </c>
      <c r="F8" s="87">
        <f t="shared" ca="1" si="3"/>
        <v>6</v>
      </c>
      <c r="G8" s="87">
        <f t="shared" ca="1" si="4"/>
        <v>1</v>
      </c>
      <c r="H8" s="87">
        <f t="shared" ca="1" si="5"/>
        <v>6</v>
      </c>
    </row>
    <row r="9" spans="1:8" x14ac:dyDescent="0.25">
      <c r="A9" s="90"/>
      <c r="B9" s="90"/>
      <c r="C9" s="90" t="str">
        <f t="shared" ca="1" si="0"/>
        <v/>
      </c>
      <c r="D9" s="90" t="str">
        <f t="shared" si="1"/>
        <v/>
      </c>
      <c r="E9" s="90" t="str">
        <f t="shared" si="2"/>
        <v/>
      </c>
      <c r="F9" s="89" t="str">
        <f t="shared" ca="1" si="3"/>
        <v/>
      </c>
      <c r="G9" s="89" t="str">
        <f t="shared" ca="1" si="4"/>
        <v/>
      </c>
      <c r="H9" s="89" t="str">
        <f t="shared" si="5"/>
        <v/>
      </c>
    </row>
    <row r="10" spans="1:8" x14ac:dyDescent="0.25">
      <c r="A10" s="88"/>
      <c r="B10" s="88"/>
      <c r="C10" s="88" t="str">
        <f t="shared" ca="1" si="0"/>
        <v/>
      </c>
      <c r="D10" s="88" t="str">
        <f t="shared" si="1"/>
        <v/>
      </c>
      <c r="E10" s="88" t="str">
        <f t="shared" si="2"/>
        <v/>
      </c>
      <c r="F10" s="87" t="str">
        <f t="shared" ca="1" si="3"/>
        <v/>
      </c>
      <c r="G10" s="87" t="str">
        <f t="shared" ca="1" si="4"/>
        <v/>
      </c>
      <c r="H10" s="87" t="str">
        <f t="shared" si="5"/>
        <v/>
      </c>
    </row>
    <row r="11" spans="1:8" x14ac:dyDescent="0.25">
      <c r="A11" s="88"/>
      <c r="B11" s="88"/>
      <c r="C11" s="88" t="str">
        <f t="shared" ca="1" si="0"/>
        <v/>
      </c>
      <c r="D11" s="88" t="str">
        <f t="shared" si="1"/>
        <v/>
      </c>
      <c r="E11" s="88" t="str">
        <f t="shared" si="2"/>
        <v/>
      </c>
      <c r="F11" s="87" t="str">
        <f t="shared" ca="1" si="3"/>
        <v/>
      </c>
      <c r="G11" s="87" t="str">
        <f t="shared" ca="1" si="4"/>
        <v/>
      </c>
      <c r="H11" s="87" t="str">
        <f t="shared" si="5"/>
        <v/>
      </c>
    </row>
    <row r="12" spans="1:8" x14ac:dyDescent="0.25">
      <c r="A12" s="88"/>
      <c r="B12" s="88"/>
      <c r="C12" s="88" t="str">
        <f t="shared" ca="1" si="0"/>
        <v/>
      </c>
      <c r="D12" s="88" t="str">
        <f t="shared" si="1"/>
        <v/>
      </c>
      <c r="E12" s="88" t="str">
        <f t="shared" si="2"/>
        <v/>
      </c>
      <c r="F12" s="87" t="str">
        <f t="shared" ca="1" si="3"/>
        <v/>
      </c>
      <c r="G12" s="87" t="str">
        <f t="shared" ca="1" si="4"/>
        <v/>
      </c>
      <c r="H12" s="87" t="str">
        <f t="shared" si="5"/>
        <v/>
      </c>
    </row>
    <row r="13" spans="1:8" x14ac:dyDescent="0.25">
      <c r="A13" s="88"/>
      <c r="B13" s="88"/>
      <c r="C13" s="88" t="str">
        <f t="shared" ca="1" si="0"/>
        <v/>
      </c>
      <c r="D13" s="88" t="str">
        <f t="shared" si="1"/>
        <v/>
      </c>
      <c r="E13" s="88" t="str">
        <f t="shared" si="2"/>
        <v/>
      </c>
      <c r="F13" s="87" t="str">
        <f t="shared" ca="1" si="3"/>
        <v/>
      </c>
      <c r="G13" s="87" t="str">
        <f t="shared" ca="1" si="4"/>
        <v/>
      </c>
      <c r="H13" s="87" t="str">
        <f t="shared" si="5"/>
        <v/>
      </c>
    </row>
    <row r="14" spans="1:8" x14ac:dyDescent="0.25">
      <c r="A14" s="88"/>
      <c r="B14" s="88"/>
      <c r="C14" s="88" t="str">
        <f t="shared" ca="1" si="0"/>
        <v/>
      </c>
      <c r="D14" s="88" t="str">
        <f t="shared" si="1"/>
        <v/>
      </c>
      <c r="E14" s="88" t="str">
        <f t="shared" si="2"/>
        <v/>
      </c>
      <c r="F14" s="87" t="str">
        <f t="shared" ca="1" si="3"/>
        <v/>
      </c>
      <c r="G14" s="87" t="str">
        <f t="shared" ca="1" si="4"/>
        <v/>
      </c>
      <c r="H14" s="87" t="str">
        <f t="shared" si="5"/>
        <v/>
      </c>
    </row>
    <row r="15" spans="1:8" x14ac:dyDescent="0.25">
      <c r="A15" s="88"/>
      <c r="B15" s="88"/>
      <c r="C15" s="88" t="str">
        <f t="shared" ca="1" si="0"/>
        <v/>
      </c>
      <c r="D15" s="88" t="str">
        <f t="shared" si="1"/>
        <v/>
      </c>
      <c r="E15" s="88" t="str">
        <f t="shared" si="2"/>
        <v/>
      </c>
      <c r="F15" s="87" t="str">
        <f t="shared" ca="1" si="3"/>
        <v/>
      </c>
      <c r="G15" s="87" t="str">
        <f t="shared" ca="1" si="4"/>
        <v/>
      </c>
      <c r="H15" s="87" t="str">
        <f t="shared" si="5"/>
        <v/>
      </c>
    </row>
    <row r="16" spans="1:8" x14ac:dyDescent="0.25">
      <c r="A16" s="90"/>
      <c r="B16" s="90"/>
      <c r="C16" s="90" t="str">
        <f t="shared" ca="1" si="0"/>
        <v/>
      </c>
      <c r="D16" s="90" t="str">
        <f t="shared" si="1"/>
        <v/>
      </c>
      <c r="E16" s="90" t="str">
        <f t="shared" si="2"/>
        <v/>
      </c>
      <c r="F16" s="89" t="str">
        <f t="shared" ca="1" si="3"/>
        <v/>
      </c>
      <c r="G16" s="89" t="str">
        <f t="shared" ca="1" si="4"/>
        <v/>
      </c>
      <c r="H16" s="89" t="str">
        <f t="shared" si="5"/>
        <v/>
      </c>
    </row>
    <row r="17" spans="1:8" x14ac:dyDescent="0.25">
      <c r="A17" s="88"/>
      <c r="B17" s="88"/>
      <c r="C17" s="88" t="str">
        <f t="shared" ca="1" si="0"/>
        <v/>
      </c>
      <c r="D17" s="88" t="str">
        <f t="shared" si="1"/>
        <v/>
      </c>
      <c r="E17" s="88" t="str">
        <f t="shared" si="2"/>
        <v/>
      </c>
      <c r="F17" s="87" t="str">
        <f t="shared" ca="1" si="3"/>
        <v/>
      </c>
      <c r="G17" s="87" t="str">
        <f t="shared" ca="1" si="4"/>
        <v/>
      </c>
      <c r="H17" s="87" t="str">
        <f t="shared" si="5"/>
        <v/>
      </c>
    </row>
    <row r="18" spans="1:8" x14ac:dyDescent="0.25">
      <c r="A18" s="88"/>
      <c r="B18" s="88"/>
      <c r="C18" s="88" t="str">
        <f t="shared" ca="1" si="0"/>
        <v/>
      </c>
      <c r="D18" s="88" t="str">
        <f t="shared" si="1"/>
        <v/>
      </c>
      <c r="E18" s="88" t="str">
        <f t="shared" si="2"/>
        <v/>
      </c>
      <c r="F18" s="87" t="str">
        <f t="shared" ca="1" si="3"/>
        <v/>
      </c>
      <c r="G18" s="87" t="str">
        <f t="shared" ca="1" si="4"/>
        <v/>
      </c>
      <c r="H18" s="87" t="str">
        <f t="shared" si="5"/>
        <v/>
      </c>
    </row>
    <row r="19" spans="1:8" x14ac:dyDescent="0.25">
      <c r="A19" s="88"/>
      <c r="B19" s="88"/>
      <c r="C19" s="88" t="str">
        <f t="shared" ca="1" si="0"/>
        <v/>
      </c>
      <c r="D19" s="88" t="str">
        <f t="shared" si="1"/>
        <v/>
      </c>
      <c r="E19" s="88" t="str">
        <f t="shared" si="2"/>
        <v/>
      </c>
      <c r="F19" s="87" t="str">
        <f t="shared" ca="1" si="3"/>
        <v/>
      </c>
      <c r="G19" s="87" t="str">
        <f t="shared" ca="1" si="4"/>
        <v/>
      </c>
      <c r="H19" s="87" t="str">
        <f t="shared" si="5"/>
        <v/>
      </c>
    </row>
    <row r="20" spans="1:8" x14ac:dyDescent="0.25">
      <c r="A20" s="88"/>
      <c r="B20" s="88"/>
      <c r="C20" s="88" t="str">
        <f t="shared" ca="1" si="0"/>
        <v/>
      </c>
      <c r="D20" s="88" t="str">
        <f t="shared" si="1"/>
        <v/>
      </c>
      <c r="E20" s="88" t="str">
        <f t="shared" si="2"/>
        <v/>
      </c>
      <c r="F20" s="87" t="str">
        <f t="shared" ca="1" si="3"/>
        <v/>
      </c>
      <c r="G20" s="87" t="str">
        <f t="shared" ca="1" si="4"/>
        <v/>
      </c>
      <c r="H20" s="87" t="str">
        <f t="shared" si="5"/>
        <v/>
      </c>
    </row>
    <row r="21" spans="1:8" x14ac:dyDescent="0.25">
      <c r="A21" s="88"/>
      <c r="B21" s="88"/>
      <c r="C21" s="88" t="str">
        <f t="shared" ca="1" si="0"/>
        <v/>
      </c>
      <c r="D21" s="88" t="str">
        <f t="shared" si="1"/>
        <v/>
      </c>
      <c r="E21" s="88" t="str">
        <f t="shared" si="2"/>
        <v/>
      </c>
      <c r="F21" s="87" t="str">
        <f t="shared" ca="1" si="3"/>
        <v/>
      </c>
      <c r="G21" s="87" t="str">
        <f t="shared" ca="1" si="4"/>
        <v/>
      </c>
      <c r="H21" s="87" t="str">
        <f t="shared" si="5"/>
        <v/>
      </c>
    </row>
    <row r="22" spans="1:8" x14ac:dyDescent="0.25">
      <c r="A22" s="88"/>
      <c r="B22" s="88"/>
      <c r="C22" s="88" t="str">
        <f t="shared" ca="1" si="0"/>
        <v/>
      </c>
      <c r="D22" s="88" t="str">
        <f t="shared" si="1"/>
        <v/>
      </c>
      <c r="E22" s="88" t="str">
        <f t="shared" si="2"/>
        <v/>
      </c>
      <c r="F22" s="87" t="str">
        <f t="shared" ca="1" si="3"/>
        <v/>
      </c>
      <c r="G22" s="87" t="str">
        <f t="shared" ca="1" si="4"/>
        <v/>
      </c>
      <c r="H22" s="87" t="str">
        <f t="shared" si="5"/>
        <v/>
      </c>
    </row>
  </sheetData>
  <sheetProtection password="A871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8"/>
  <sheetViews>
    <sheetView windowProtection="1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3" sqref="F13:H13"/>
    </sheetView>
  </sheetViews>
  <sheetFormatPr defaultRowHeight="15" x14ac:dyDescent="0.25"/>
  <cols>
    <col min="1" max="1" width="34.75" bestFit="1" customWidth="1"/>
    <col min="3" max="3" width="16.25" bestFit="1" customWidth="1"/>
    <col min="4" max="4" width="11.875" bestFit="1" customWidth="1"/>
    <col min="5" max="12" width="16.25" bestFit="1" customWidth="1"/>
    <col min="13" max="13" width="32.5" bestFit="1" customWidth="1"/>
    <col min="14" max="14" width="30.375" bestFit="1" customWidth="1"/>
    <col min="15" max="15" width="32.75" bestFit="1" customWidth="1"/>
  </cols>
  <sheetData>
    <row r="1" spans="1:15" ht="18" x14ac:dyDescent="0.25">
      <c r="A1" s="1" t="s">
        <v>0</v>
      </c>
    </row>
    <row r="2" spans="1:15" ht="18" x14ac:dyDescent="0.25">
      <c r="A2" s="2"/>
      <c r="C2" s="94" t="s">
        <v>1</v>
      </c>
      <c r="D2" s="94"/>
      <c r="E2" s="94"/>
      <c r="F2" s="94"/>
      <c r="G2" s="94"/>
      <c r="H2" s="94"/>
      <c r="I2" s="94"/>
      <c r="J2" s="94"/>
      <c r="K2" s="94"/>
      <c r="L2" s="94"/>
    </row>
    <row r="3" spans="1:15" ht="18" x14ac:dyDescent="0.25">
      <c r="A3" s="2"/>
      <c r="C3" s="3" t="str">
        <f t="shared" ref="C3:L11" ca="1" si="0">CellColorDissplay(CELL("address",C3),Display_Format_ID)</f>
        <v>FFFFFF</v>
      </c>
      <c r="D3" s="75" t="str">
        <f t="shared" ca="1" si="0"/>
        <v>000000</v>
      </c>
      <c r="E3" s="4" t="str">
        <f t="shared" ca="1" si="0"/>
        <v>EEECE1</v>
      </c>
      <c r="F3" s="76" t="str">
        <f t="shared" ca="1" si="0"/>
        <v>1F497D</v>
      </c>
      <c r="G3" s="77" t="str">
        <f t="shared" ca="1" si="0"/>
        <v>4F81BD</v>
      </c>
      <c r="H3" s="78" t="str">
        <f t="shared" ca="1" si="0"/>
        <v>C0504D</v>
      </c>
      <c r="I3" s="81" t="str">
        <f t="shared" ca="1" si="0"/>
        <v>9BBB59</v>
      </c>
      <c r="J3" s="82" t="str">
        <f t="shared" ca="1" si="0"/>
        <v>8064A2</v>
      </c>
      <c r="K3" s="79" t="str">
        <f t="shared" ca="1" si="0"/>
        <v>4BACC6</v>
      </c>
      <c r="L3" s="80" t="str">
        <f t="shared" ca="1" si="0"/>
        <v>F79646</v>
      </c>
    </row>
    <row r="4" spans="1:15" x14ac:dyDescent="0.25">
      <c r="A4" s="93"/>
    </row>
    <row r="5" spans="1:15" ht="18" customHeight="1" x14ac:dyDescent="0.25">
      <c r="A5" s="93"/>
      <c r="C5" s="18" t="str">
        <f t="shared" ca="1" si="0"/>
        <v>F2F2F2</v>
      </c>
      <c r="D5" s="83" t="str">
        <f t="shared" ca="1" si="0"/>
        <v>808080</v>
      </c>
      <c r="E5" s="19" t="str">
        <f t="shared" ca="1" si="0"/>
        <v>DDD9C4</v>
      </c>
      <c r="F5" s="20" t="str">
        <f t="shared" ca="1" si="0"/>
        <v>C5D9F1</v>
      </c>
      <c r="G5" s="21" t="str">
        <f t="shared" ca="1" si="0"/>
        <v>DCE6F1</v>
      </c>
      <c r="H5" s="38" t="str">
        <f t="shared" ca="1" si="0"/>
        <v>F2DCDB</v>
      </c>
      <c r="I5" s="39" t="str">
        <f t="shared" ca="1" si="0"/>
        <v>EBF1DE</v>
      </c>
      <c r="J5" s="40" t="str">
        <f t="shared" ca="1" si="0"/>
        <v>E4DFEC</v>
      </c>
      <c r="K5" s="41" t="str">
        <f t="shared" ca="1" si="0"/>
        <v>DAEEF3</v>
      </c>
      <c r="L5" s="42" t="str">
        <f t="shared" ca="1" si="0"/>
        <v>FDE9D9</v>
      </c>
    </row>
    <row r="6" spans="1:15" ht="18" x14ac:dyDescent="0.25">
      <c r="A6" s="93"/>
      <c r="C6" s="22" t="str">
        <f t="shared" ca="1" si="0"/>
        <v>D9D9D9</v>
      </c>
      <c r="D6" s="84" t="str">
        <f t="shared" ca="1" si="0"/>
        <v>595959</v>
      </c>
      <c r="E6" s="23" t="str">
        <f t="shared" ca="1" si="0"/>
        <v>C4BD97</v>
      </c>
      <c r="F6" s="24" t="str">
        <f t="shared" ca="1" si="0"/>
        <v>8DB4E2</v>
      </c>
      <c r="G6" s="25" t="str">
        <f t="shared" ca="1" si="0"/>
        <v>B8CCE4</v>
      </c>
      <c r="H6" s="43" t="str">
        <f t="shared" ca="1" si="0"/>
        <v>E6B8B7</v>
      </c>
      <c r="I6" s="44" t="str">
        <f t="shared" ca="1" si="0"/>
        <v>D8E4BC</v>
      </c>
      <c r="J6" s="45" t="str">
        <f t="shared" ca="1" si="0"/>
        <v>CCC0DA</v>
      </c>
      <c r="K6" s="46" t="str">
        <f t="shared" ca="1" si="0"/>
        <v>B7DEE8</v>
      </c>
      <c r="L6" s="47" t="str">
        <f t="shared" ca="1" si="0"/>
        <v>FCD5B4</v>
      </c>
    </row>
    <row r="7" spans="1:15" ht="18" x14ac:dyDescent="0.25">
      <c r="A7" s="93"/>
      <c r="C7" s="26" t="str">
        <f t="shared" ca="1" si="0"/>
        <v>BFBFBF</v>
      </c>
      <c r="D7" s="85" t="str">
        <f t="shared" ca="1" si="0"/>
        <v>404040</v>
      </c>
      <c r="E7" s="27" t="str">
        <f t="shared" ca="1" si="0"/>
        <v>948A54</v>
      </c>
      <c r="F7" s="28" t="str">
        <f t="shared" ca="1" si="0"/>
        <v>538DD5</v>
      </c>
      <c r="G7" s="29" t="str">
        <f t="shared" ca="1" si="0"/>
        <v>95B3D7</v>
      </c>
      <c r="H7" s="48" t="str">
        <f t="shared" ca="1" si="0"/>
        <v>DA9694</v>
      </c>
      <c r="I7" s="49" t="str">
        <f t="shared" ca="1" si="0"/>
        <v>C4D79B</v>
      </c>
      <c r="J7" s="50" t="str">
        <f t="shared" ca="1" si="0"/>
        <v>B1A0C7</v>
      </c>
      <c r="K7" s="51" t="str">
        <f t="shared" ca="1" si="0"/>
        <v>92CDDC</v>
      </c>
      <c r="L7" s="52" t="str">
        <f t="shared" ca="1" si="0"/>
        <v>FABF8F</v>
      </c>
    </row>
    <row r="8" spans="1:15" ht="18" x14ac:dyDescent="0.25">
      <c r="A8" s="93"/>
      <c r="C8" s="55" t="str">
        <f t="shared" ca="1" si="0"/>
        <v>A6A6A6</v>
      </c>
      <c r="D8" s="56" t="str">
        <f t="shared" ca="1" si="0"/>
        <v>262626</v>
      </c>
      <c r="E8" s="57" t="str">
        <f t="shared" ca="1" si="0"/>
        <v>494529</v>
      </c>
      <c r="F8" s="58" t="str">
        <f t="shared" ca="1" si="0"/>
        <v>16365C</v>
      </c>
      <c r="G8" s="59" t="str">
        <f t="shared" ca="1" si="0"/>
        <v>366092</v>
      </c>
      <c r="H8" s="60" t="str">
        <f t="shared" ca="1" si="0"/>
        <v>963634</v>
      </c>
      <c r="I8" s="61" t="str">
        <f t="shared" ca="1" si="0"/>
        <v>76933C</v>
      </c>
      <c r="J8" s="62" t="str">
        <f t="shared" ca="1" si="0"/>
        <v>60497A</v>
      </c>
      <c r="K8" s="63" t="str">
        <f t="shared" ca="1" si="0"/>
        <v>31869B</v>
      </c>
      <c r="L8" s="64" t="str">
        <f t="shared" ca="1" si="0"/>
        <v>E26B0A</v>
      </c>
    </row>
    <row r="9" spans="1:15" ht="18" x14ac:dyDescent="0.25">
      <c r="A9" s="93"/>
      <c r="C9" s="65" t="str">
        <f t="shared" ca="1" si="0"/>
        <v>808080</v>
      </c>
      <c r="D9" s="66" t="str">
        <f t="shared" ca="1" si="0"/>
        <v>0D0D0D</v>
      </c>
      <c r="E9" s="67" t="str">
        <f t="shared" ca="1" si="0"/>
        <v>1D1B10</v>
      </c>
      <c r="F9" s="68" t="str">
        <f t="shared" ca="1" si="0"/>
        <v>0F243E</v>
      </c>
      <c r="G9" s="69" t="str">
        <f t="shared" ca="1" si="0"/>
        <v>244062</v>
      </c>
      <c r="H9" s="70" t="str">
        <f t="shared" ca="1" si="0"/>
        <v>632523</v>
      </c>
      <c r="I9" s="71" t="str">
        <f t="shared" ca="1" si="0"/>
        <v>4F6228</v>
      </c>
      <c r="J9" s="72" t="str">
        <f t="shared" ca="1" si="0"/>
        <v>403151</v>
      </c>
      <c r="K9" s="73" t="str">
        <f t="shared" ca="1" si="0"/>
        <v>215967</v>
      </c>
      <c r="L9" s="74" t="str">
        <f t="shared" ca="1" si="0"/>
        <v>974706</v>
      </c>
    </row>
    <row r="10" spans="1:15" ht="18" x14ac:dyDescent="0.25">
      <c r="A10" s="93"/>
      <c r="C10" s="95" t="s">
        <v>2</v>
      </c>
      <c r="D10" s="95"/>
      <c r="E10" s="95"/>
      <c r="F10" s="95"/>
      <c r="G10" s="95"/>
      <c r="H10" s="95"/>
      <c r="I10" s="95"/>
      <c r="J10" s="95"/>
      <c r="K10" s="95"/>
      <c r="L10" s="95"/>
    </row>
    <row r="11" spans="1:15" ht="18" x14ac:dyDescent="0.25">
      <c r="A11" s="93"/>
      <c r="C11" s="30" t="str">
        <f t="shared" ca="1" si="0"/>
        <v>C00000</v>
      </c>
      <c r="D11" s="31" t="str">
        <f t="shared" ca="1" si="0"/>
        <v>FF0000</v>
      </c>
      <c r="E11" s="32" t="str">
        <f t="shared" ca="1" si="0"/>
        <v>FFC000</v>
      </c>
      <c r="F11" s="33" t="str">
        <f t="shared" ca="1" si="0"/>
        <v>FFFF00</v>
      </c>
      <c r="G11" s="34" t="str">
        <f t="shared" ca="1" si="0"/>
        <v>92D050</v>
      </c>
      <c r="H11" s="35" t="str">
        <f t="shared" ca="1" si="0"/>
        <v>00B050</v>
      </c>
      <c r="I11" s="36" t="str">
        <f t="shared" ca="1" si="0"/>
        <v>00B0F0</v>
      </c>
      <c r="J11" s="37" t="str">
        <f t="shared" ca="1" si="0"/>
        <v>0070C0</v>
      </c>
      <c r="K11" s="53" t="str">
        <f t="shared" ca="1" si="0"/>
        <v>002060</v>
      </c>
      <c r="L11" s="54" t="str">
        <f t="shared" ca="1" si="0"/>
        <v>7030A0</v>
      </c>
    </row>
    <row r="12" spans="1:15" x14ac:dyDescent="0.25">
      <c r="A12" s="93"/>
      <c r="M12" t="s">
        <v>69</v>
      </c>
    </row>
    <row r="13" spans="1:15" ht="18" x14ac:dyDescent="0.25">
      <c r="A13" s="93"/>
      <c r="C13" s="95" t="s">
        <v>42</v>
      </c>
      <c r="D13" s="95"/>
      <c r="E13" s="95"/>
      <c r="F13" s="92" t="s">
        <v>43</v>
      </c>
      <c r="G13" s="92"/>
      <c r="H13" s="92"/>
      <c r="I13" s="17"/>
      <c r="J13" s="17"/>
      <c r="K13" s="17"/>
      <c r="L13" s="17"/>
      <c r="M13" s="86" t="s">
        <v>49</v>
      </c>
      <c r="N13" s="86" t="s">
        <v>50</v>
      </c>
      <c r="O13" s="86">
        <f>VLOOKUP(Select_Display_Fromat,Display_Formats_Map_Data,MATCH(Display_Format_IDs,Display_Formats_Map_Labels,0),FALSE)</f>
        <v>1</v>
      </c>
    </row>
    <row r="14" spans="1:15" x14ac:dyDescent="0.25">
      <c r="A14" s="93"/>
      <c r="F14" s="96" t="s">
        <v>43</v>
      </c>
      <c r="G14" s="96"/>
      <c r="H14" s="96"/>
      <c r="M14" s="86">
        <f>IF(ISNUMBER(M13),M13+1,1)</f>
        <v>1</v>
      </c>
      <c r="N14" s="86" t="str">
        <f>SUBSTITUTE(SUBSTITUTE(F14,CHAR(32),""),",","")</f>
        <v>HexadecimalString</v>
      </c>
      <c r="O14" s="86" t="str">
        <f>CONCATENATE(N14,"=",M14)</f>
        <v>HexadecimalString=1</v>
      </c>
    </row>
    <row r="15" spans="1:15" x14ac:dyDescent="0.25">
      <c r="A15" s="93"/>
      <c r="F15" s="97" t="s">
        <v>44</v>
      </c>
      <c r="G15" s="97"/>
      <c r="H15" s="97"/>
      <c r="M15" s="86">
        <f>IF(ISNUMBER(M14),M14+1,1)</f>
        <v>2</v>
      </c>
      <c r="N15" s="86" t="str">
        <f>SUBSTITUTE(SUBSTITUTE(F15,CHAR(32),""),",","")</f>
        <v>HexadecimalTripletSpaceDelimited</v>
      </c>
      <c r="O15" s="86" t="str">
        <f>CONCATENATE(N15,"=",M15)</f>
        <v>HexadecimalTripletSpaceDelimited=2</v>
      </c>
    </row>
    <row r="16" spans="1:15" x14ac:dyDescent="0.25">
      <c r="A16" s="93"/>
      <c r="F16" s="97" t="s">
        <v>45</v>
      </c>
      <c r="G16" s="97"/>
      <c r="H16" s="97"/>
      <c r="M16" s="86">
        <f>IF(ISNUMBER(M15),M15+1,1)</f>
        <v>3</v>
      </c>
      <c r="N16" s="86" t="str">
        <f>SUBSTITUTE(SUBSTITUTE(F16,CHAR(32),""),",","")</f>
        <v>DecimalTripletSpaceDelimited</v>
      </c>
      <c r="O16" s="86" t="str">
        <f>CONCATENATE(N16,"=",M16)</f>
        <v>DecimalTripletSpaceDelimited=3</v>
      </c>
    </row>
    <row r="17" spans="1:15" x14ac:dyDescent="0.25">
      <c r="A17" s="93"/>
      <c r="F17" s="97" t="s">
        <v>46</v>
      </c>
      <c r="G17" s="97"/>
      <c r="H17" s="97"/>
      <c r="M17" s="86">
        <f>IF(ISNUMBER(M16),M16+1,1)</f>
        <v>4</v>
      </c>
      <c r="N17" s="86" t="str">
        <f>SUBSTITUTE(SUBSTITUTE(F17,CHAR(32),""),",","")</f>
        <v>HexadecimalTripletCommaDelimited</v>
      </c>
      <c r="O17" s="86" t="str">
        <f>CONCATENATE(N17,"=",M17)</f>
        <v>HexadecimalTripletCommaDelimited=4</v>
      </c>
    </row>
    <row r="18" spans="1:15" x14ac:dyDescent="0.25">
      <c r="A18" s="93"/>
      <c r="F18" s="97" t="s">
        <v>47</v>
      </c>
      <c r="G18" s="97"/>
      <c r="H18" s="97"/>
      <c r="M18" s="86">
        <f>IF(ISNUMBER(M17),M17+1,1)</f>
        <v>5</v>
      </c>
      <c r="N18" s="86" t="str">
        <f>SUBSTITUTE(SUBSTITUTE(F18,CHAR(32),""),",","")</f>
        <v>DecimalTripletCommaDelimited</v>
      </c>
      <c r="O18" s="86" t="str">
        <f>CONCATENATE(N18,"=",M18)</f>
        <v>DecimalTripletCommaDelimited=5</v>
      </c>
    </row>
  </sheetData>
  <sheetProtection password="A871" sheet="1" objects="1" scenarios="1"/>
  <mergeCells count="10">
    <mergeCell ref="F13:H13"/>
    <mergeCell ref="A4:A18"/>
    <mergeCell ref="C2:L2"/>
    <mergeCell ref="C10:L10"/>
    <mergeCell ref="C13:E13"/>
    <mergeCell ref="F14:H14"/>
    <mergeCell ref="F15:H15"/>
    <mergeCell ref="F16:H16"/>
    <mergeCell ref="F17:H17"/>
    <mergeCell ref="F18:H18"/>
  </mergeCells>
  <dataValidations count="1">
    <dataValidation type="list" allowBlank="1" showInputMessage="1" showErrorMessage="1" sqref="F13:H13">
      <formula1>Supported_Display_Fromats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XLRangeLib_WW</vt:lpstr>
      <vt:lpstr>wsWWXLAppErrors</vt:lpstr>
      <vt:lpstr>Index of Named Ranges</vt:lpstr>
      <vt:lpstr>ColorIndex versus Color Picker</vt:lpstr>
      <vt:lpstr>Display_Format_ID</vt:lpstr>
      <vt:lpstr>Display_Format_IDs</vt:lpstr>
      <vt:lpstr>Display_Formats_Map_Data</vt:lpstr>
      <vt:lpstr>Display_Formats_Map_Labels</vt:lpstr>
      <vt:lpstr>Index_of_Supported_Display_Fromats</vt:lpstr>
      <vt:lpstr>wsWWXLAppErrors!rngWWXLAppDefaultModuleName</vt:lpstr>
      <vt:lpstr>XLRangeLib_WW!rngWWXLAppDefaultModuleName</vt:lpstr>
      <vt:lpstr>wsWWXLAppErrors!rngWWXLAppExceptionList</vt:lpstr>
      <vt:lpstr>XLRangeLib_WW!rngWWXLAppExceptionList</vt:lpstr>
      <vt:lpstr>wsWWXLAppErrors!rngWWXLAppProjectName</vt:lpstr>
      <vt:lpstr>XLRangeLib_WW!rngWWXLAppProjectName</vt:lpstr>
      <vt:lpstr>wsWWXLAppErrors!rngWWXLAppStartingErrorNumber</vt:lpstr>
      <vt:lpstr>XLRangeLib_WW!rngWWXLAppStartingErrorNumber</vt:lpstr>
      <vt:lpstr>Select_Display_Fromat</vt:lpstr>
      <vt:lpstr>Supported_Display_Fromats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Combinations</dc:title>
  <dc:subject>Working with Text and Background Colors</dc:subject>
  <dc:creator>David A. Gray</dc:creator>
  <cp:lastModifiedBy>David A. Gray</cp:lastModifiedBy>
  <dcterms:created xsi:type="dcterms:W3CDTF">2015-09-18T19:54:44Z</dcterms:created>
  <dcterms:modified xsi:type="dcterms:W3CDTF">2015-09-20T18:42:01Z</dcterms:modified>
</cp:coreProperties>
</file>