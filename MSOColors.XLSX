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A871" lockStructure="1" lockWindows="1"/>
  <bookViews>
    <workbookView xWindow="600" yWindow="390" windowWidth="20025" windowHeight="8505" activeTab="1"/>
  </bookViews>
  <sheets>
    <sheet name="Index of Named Ranges" sheetId="4" r:id="rId1"/>
    <sheet name="Standard Office RGB Color Codes" sheetId="1" r:id="rId2"/>
  </sheets>
  <definedNames>
    <definedName name="Delimiter_Column_Label">'Standard Office RGB Color Codes'!$O$13</definedName>
    <definedName name="Display_Format_ID">'Standard Office RGB Color Codes'!$R$13</definedName>
    <definedName name="Display_Format_IDs">'Standard Office RGB Color Codes'!$M$13</definedName>
    <definedName name="Display_Formats_Map_Data">'Standard Office RGB Color Codes'!$F$14:$R$18</definedName>
    <definedName name="Display_Formats_Map_Labels">'Standard Office RGB Color Codes'!$F$13:$R$13</definedName>
    <definedName name="Format_as_Decimal">'Standard Office RGB Color Codes'!$C$21</definedName>
    <definedName name="Format_as_Hexadecimal">'Standard Office RGB Color Codes'!$C$22</definedName>
    <definedName name="Index_of_Supported_Display_Fromats">'Standard Office RGB Color Codes'!$M$14:$M$18</definedName>
    <definedName name="Number_Format">'Standard Office RGB Color Codes'!$N$13</definedName>
    <definedName name="Select_Display_Format">'Standard Office RGB Color Codes'!$F$13:$F$13</definedName>
    <definedName name="Selected_Delimiter">'Standard Office RGB Color Codes'!$Q$12</definedName>
    <definedName name="Selected_Display_Format_ID">'Standard Office RGB Color Codes'!$O$12</definedName>
    <definedName name="Selected_Number_Format">'Standard Office RGB Color Codes'!$N$12</definedName>
    <definedName name="Supported_Display_Fromats">'Standard Office RGB Color Codes'!$F$14:$F$18</definedName>
    <definedName name="Valid_Number_Formats">'Standard Office RGB Color Codes'!$C$21:$C$22</definedName>
  </definedNames>
  <calcPr calcId="145621"/>
</workbook>
</file>

<file path=xl/calcChain.xml><?xml version="1.0" encoding="utf-8"?>
<calcChain xmlns="http://schemas.openxmlformats.org/spreadsheetml/2006/main">
  <c r="O16" i="1" l="1"/>
  <c r="Q21" i="1"/>
  <c r="Q20" i="1"/>
  <c r="Q12" i="1"/>
  <c r="N12" i="1"/>
  <c r="L9" i="1" s="1"/>
  <c r="H32" i="4"/>
  <c r="G32" i="4"/>
  <c r="F32" i="4"/>
  <c r="E32" i="4"/>
  <c r="D32" i="4"/>
  <c r="C32" i="4"/>
  <c r="H31" i="4"/>
  <c r="G31" i="4"/>
  <c r="F31" i="4"/>
  <c r="E31" i="4"/>
  <c r="D31" i="4"/>
  <c r="C31" i="4"/>
  <c r="H30" i="4"/>
  <c r="G30" i="4"/>
  <c r="F30" i="4"/>
  <c r="E30" i="4"/>
  <c r="D30" i="4"/>
  <c r="C30" i="4"/>
  <c r="E16" i="4"/>
  <c r="D16" i="4"/>
  <c r="E28" i="4"/>
  <c r="D28" i="4"/>
  <c r="E27" i="4"/>
  <c r="D27" i="4"/>
  <c r="E26" i="4"/>
  <c r="D26" i="4"/>
  <c r="E14" i="4"/>
  <c r="D14" i="4"/>
  <c r="E25" i="4"/>
  <c r="D25" i="4"/>
  <c r="E2" i="4"/>
  <c r="D2" i="4"/>
  <c r="O12" i="1"/>
  <c r="M1" i="4"/>
  <c r="L1" i="4"/>
  <c r="K15" i="4"/>
  <c r="K13" i="4"/>
  <c r="K12" i="4"/>
  <c r="K9" i="4"/>
  <c r="K6" i="4"/>
  <c r="K5" i="4"/>
  <c r="K4" i="4"/>
  <c r="K3" i="4"/>
  <c r="K1" i="4"/>
  <c r="P18" i="1"/>
  <c r="P17" i="1"/>
  <c r="P16" i="1"/>
  <c r="P15" i="1"/>
  <c r="P14" i="1"/>
  <c r="O15" i="1"/>
  <c r="F16" i="4"/>
  <c r="F27" i="4"/>
  <c r="C16" i="4"/>
  <c r="G16" i="4"/>
  <c r="G28" i="4"/>
  <c r="C28" i="4"/>
  <c r="G27" i="4"/>
  <c r="C27" i="4"/>
  <c r="F28" i="4"/>
  <c r="F26" i="4"/>
  <c r="F14" i="4"/>
  <c r="F25" i="4"/>
  <c r="G26" i="4"/>
  <c r="C26" i="4"/>
  <c r="G14" i="4"/>
  <c r="G25" i="4"/>
  <c r="C25" i="4"/>
  <c r="G2" i="4"/>
  <c r="C2" i="4"/>
  <c r="F2" i="4"/>
  <c r="C3" i="1" l="1"/>
  <c r="E3" i="1"/>
  <c r="G3" i="1"/>
  <c r="I3" i="1"/>
  <c r="K3" i="1"/>
  <c r="C11" i="1"/>
  <c r="E11" i="1"/>
  <c r="G11" i="1"/>
  <c r="I11" i="1"/>
  <c r="K11" i="1"/>
  <c r="C5" i="1"/>
  <c r="E5" i="1"/>
  <c r="G5" i="1"/>
  <c r="I5" i="1"/>
  <c r="K5" i="1"/>
  <c r="C6" i="1"/>
  <c r="E6" i="1"/>
  <c r="G6" i="1"/>
  <c r="I6" i="1"/>
  <c r="K6" i="1"/>
  <c r="C7" i="1"/>
  <c r="E7" i="1"/>
  <c r="G7" i="1"/>
  <c r="I7" i="1"/>
  <c r="K7" i="1"/>
  <c r="C8" i="1"/>
  <c r="E8" i="1"/>
  <c r="G8" i="1"/>
  <c r="I8" i="1"/>
  <c r="K8" i="1"/>
  <c r="C9" i="1"/>
  <c r="E9" i="1"/>
  <c r="G9" i="1"/>
  <c r="I9" i="1"/>
  <c r="K9" i="1"/>
  <c r="D3" i="1"/>
  <c r="F3" i="1"/>
  <c r="H3" i="1"/>
  <c r="J3" i="1"/>
  <c r="L3" i="1"/>
  <c r="D11" i="1"/>
  <c r="F11" i="1"/>
  <c r="H11" i="1"/>
  <c r="J11" i="1"/>
  <c r="L11" i="1"/>
  <c r="D5" i="1"/>
  <c r="F5" i="1"/>
  <c r="H5" i="1"/>
  <c r="J5" i="1"/>
  <c r="L5" i="1"/>
  <c r="D6" i="1"/>
  <c r="F6" i="1"/>
  <c r="H6" i="1"/>
  <c r="J6" i="1"/>
  <c r="L6" i="1"/>
  <c r="D7" i="1"/>
  <c r="F7" i="1"/>
  <c r="H7" i="1"/>
  <c r="J7" i="1"/>
  <c r="L7" i="1"/>
  <c r="D8" i="1"/>
  <c r="F8" i="1"/>
  <c r="H8" i="1"/>
  <c r="J8" i="1"/>
  <c r="L8" i="1"/>
  <c r="D9" i="1"/>
  <c r="F9" i="1"/>
  <c r="H9" i="1"/>
  <c r="J9" i="1"/>
  <c r="H28" i="4"/>
  <c r="H27" i="4"/>
  <c r="H16" i="4"/>
  <c r="H25" i="4"/>
  <c r="H14" i="4"/>
  <c r="H26" i="4"/>
  <c r="H2" i="4"/>
  <c r="R18" i="1"/>
  <c r="R17" i="1"/>
  <c r="R16" i="1"/>
  <c r="R15" i="1"/>
  <c r="R14" i="1"/>
  <c r="Q18" i="1"/>
  <c r="Q17" i="1"/>
  <c r="Q16" i="1"/>
  <c r="Q15" i="1"/>
  <c r="Q14" i="1"/>
  <c r="D3" i="4"/>
  <c r="E3" i="4"/>
  <c r="L3" i="4" s="1"/>
  <c r="D4" i="4"/>
  <c r="E4" i="4"/>
  <c r="L4" i="4" s="1"/>
  <c r="D5" i="4"/>
  <c r="E5" i="4"/>
  <c r="L5" i="4" s="1"/>
  <c r="D6" i="4"/>
  <c r="E6" i="4"/>
  <c r="L6" i="4" s="1"/>
  <c r="D9" i="4"/>
  <c r="E9" i="4"/>
  <c r="L9" i="4" s="1"/>
  <c r="D12" i="4"/>
  <c r="E12" i="4"/>
  <c r="L12" i="4" s="1"/>
  <c r="D15" i="4"/>
  <c r="E15" i="4"/>
  <c r="L15" i="4" s="1"/>
  <c r="D17" i="4"/>
  <c r="E17" i="4"/>
  <c r="D18" i="4"/>
  <c r="E18" i="4"/>
  <c r="D19" i="4"/>
  <c r="E19" i="4"/>
  <c r="D20" i="4"/>
  <c r="E20" i="4"/>
  <c r="D21" i="4"/>
  <c r="E21" i="4"/>
  <c r="D7" i="4"/>
  <c r="E7" i="4"/>
  <c r="D8" i="4"/>
  <c r="E8" i="4"/>
  <c r="D22" i="4"/>
  <c r="E22" i="4"/>
  <c r="D13" i="4"/>
  <c r="E13" i="4"/>
  <c r="L13" i="4" s="1"/>
  <c r="D10" i="4"/>
  <c r="E10" i="4"/>
  <c r="D11" i="4"/>
  <c r="E11" i="4"/>
  <c r="D23" i="4"/>
  <c r="E23" i="4"/>
  <c r="D24" i="4"/>
  <c r="E24" i="4"/>
  <c r="F17" i="4"/>
  <c r="C17" i="4"/>
  <c r="G17" i="4"/>
  <c r="C24" i="4"/>
  <c r="G24" i="4"/>
  <c r="F24" i="4"/>
  <c r="C18" i="4"/>
  <c r="G18" i="4"/>
  <c r="F18" i="4"/>
  <c r="C11" i="4"/>
  <c r="G23" i="4"/>
  <c r="F11" i="4"/>
  <c r="F23" i="4"/>
  <c r="G11" i="4"/>
  <c r="C23" i="4"/>
  <c r="C19" i="4"/>
  <c r="G19" i="4"/>
  <c r="F19" i="4"/>
  <c r="C20" i="4"/>
  <c r="G20" i="4"/>
  <c r="C21" i="4"/>
  <c r="G21" i="4"/>
  <c r="G7" i="4"/>
  <c r="G8" i="4"/>
  <c r="C7" i="4"/>
  <c r="C8" i="4"/>
  <c r="C22" i="4"/>
  <c r="G22" i="4"/>
  <c r="C13" i="4"/>
  <c r="G13" i="4"/>
  <c r="C10" i="4"/>
  <c r="F20" i="4"/>
  <c r="F21" i="4"/>
  <c r="F8" i="4"/>
  <c r="F7" i="4"/>
  <c r="F22" i="4"/>
  <c r="F13" i="4"/>
  <c r="F10" i="4"/>
  <c r="G10" i="4"/>
  <c r="G12" i="4"/>
  <c r="C4" i="4"/>
  <c r="F12" i="4"/>
  <c r="F4" i="4"/>
  <c r="G9" i="4"/>
  <c r="C5" i="4"/>
  <c r="F15" i="4"/>
  <c r="G5" i="4"/>
  <c r="C12" i="4"/>
  <c r="G15" i="4"/>
  <c r="F5" i="4"/>
  <c r="C6" i="4"/>
  <c r="G4" i="4"/>
  <c r="F3" i="4"/>
  <c r="G6" i="4"/>
  <c r="C15" i="4"/>
  <c r="F6" i="4"/>
  <c r="F9" i="4"/>
  <c r="C9" i="4"/>
  <c r="G3" i="4"/>
  <c r="H17" i="4" l="1"/>
  <c r="H24" i="4"/>
  <c r="H18" i="4"/>
  <c r="H23" i="4"/>
  <c r="H11" i="4"/>
  <c r="M9" i="4"/>
  <c r="M15" i="4"/>
  <c r="M6" i="4"/>
  <c r="M12" i="4"/>
  <c r="M5" i="4"/>
  <c r="M4" i="4"/>
  <c r="M13" i="4"/>
  <c r="H19" i="4"/>
  <c r="H10" i="4"/>
  <c r="H13" i="4"/>
  <c r="H22" i="4"/>
  <c r="H8" i="4"/>
  <c r="H7" i="4"/>
  <c r="H21" i="4"/>
  <c r="H20" i="4"/>
  <c r="H15" i="4"/>
  <c r="H12" i="4"/>
  <c r="H9" i="4"/>
  <c r="H6" i="4"/>
  <c r="H5" i="4"/>
  <c r="H4" i="4"/>
  <c r="H3" i="4"/>
  <c r="M14" i="1"/>
  <c r="M15" i="1" s="1"/>
  <c r="M16" i="1" s="1"/>
  <c r="M17" i="1" s="1"/>
  <c r="M18" i="1" s="1"/>
  <c r="C3" i="4"/>
  <c r="M3" i="4" l="1"/>
  <c r="C14" i="4" l="1"/>
</calcChain>
</file>

<file path=xl/sharedStrings.xml><?xml version="1.0" encoding="utf-8"?>
<sst xmlns="http://schemas.openxmlformats.org/spreadsheetml/2006/main" count="138" uniqueCount="124">
  <si>
    <t>Standard Excel Color Picker</t>
  </si>
  <si>
    <t>Theme Colors</t>
  </si>
  <si>
    <t>Standard Colors</t>
  </si>
  <si>
    <t>Select Display Fromat</t>
  </si>
  <si>
    <t>Hexadecimal String</t>
  </si>
  <si>
    <t>Hexadecimal Triplet, Space Delimited</t>
  </si>
  <si>
    <t>Decimal Triplet, Space Delimited</t>
  </si>
  <si>
    <t>Hexadecimal Triplet, Comma Delimited</t>
  </si>
  <si>
    <t>Decimal Triplet, Comma Delimited</t>
  </si>
  <si>
    <t>Supported_Display_Fromats</t>
  </si>
  <si>
    <t>Index_of_Supported_Display_Fromats</t>
  </si>
  <si>
    <t>Display_Format_ID</t>
  </si>
  <si>
    <t>Cells</t>
  </si>
  <si>
    <t>Columns</t>
  </si>
  <si>
    <t>Rows</t>
  </si>
  <si>
    <t>Address</t>
  </si>
  <si>
    <t>Sheet</t>
  </si>
  <si>
    <t>Origin Cell Contents</t>
  </si>
  <si>
    <t>Absolute Address</t>
  </si>
  <si>
    <t>Name</t>
  </si>
  <si>
    <t>Display_Format_IDs</t>
  </si>
  <si>
    <t>Display_Formats_Map_Data</t>
  </si>
  <si>
    <t>Display_Formats_Map_Labels</t>
  </si>
  <si>
    <t>FFFFFF</t>
  </si>
  <si>
    <t>000000</t>
  </si>
  <si>
    <t>EEECE1</t>
  </si>
  <si>
    <t>1F497D</t>
  </si>
  <si>
    <t>4F81BD</t>
  </si>
  <si>
    <t>C0504D</t>
  </si>
  <si>
    <t>9BBB59</t>
  </si>
  <si>
    <t>8064A2</t>
  </si>
  <si>
    <t>4BACC6</t>
  </si>
  <si>
    <t>F79646</t>
  </si>
  <si>
    <t>F2F2F2</t>
  </si>
  <si>
    <t>808080</t>
  </si>
  <si>
    <t>DDD9C4</t>
  </si>
  <si>
    <t>C5D9F1</t>
  </si>
  <si>
    <t>DCE6F1</t>
  </si>
  <si>
    <t>F2DCDB</t>
  </si>
  <si>
    <t>EBF1DE</t>
  </si>
  <si>
    <t>E4DFEC</t>
  </si>
  <si>
    <t>DAEEF3</t>
  </si>
  <si>
    <t>FDE9D9</t>
  </si>
  <si>
    <t>D9D9D9</t>
  </si>
  <si>
    <t>595959</t>
  </si>
  <si>
    <t>C4BD97</t>
  </si>
  <si>
    <t>8DB4E2</t>
  </si>
  <si>
    <t>B8CCE4</t>
  </si>
  <si>
    <t>E6B8B7</t>
  </si>
  <si>
    <t>D8E4BC</t>
  </si>
  <si>
    <t>CCC0DA</t>
  </si>
  <si>
    <t>B7DEE8</t>
  </si>
  <si>
    <t>FCD5B4</t>
  </si>
  <si>
    <t>BFBFBF</t>
  </si>
  <si>
    <t>404040</t>
  </si>
  <si>
    <t>948A54</t>
  </si>
  <si>
    <t>538DD5</t>
  </si>
  <si>
    <t>95B3D7</t>
  </si>
  <si>
    <t>DA9694</t>
  </si>
  <si>
    <t>C4D79B</t>
  </si>
  <si>
    <t>B1A0C7</t>
  </si>
  <si>
    <t>92CDDC</t>
  </si>
  <si>
    <t>FABF8F</t>
  </si>
  <si>
    <t>A6A6A6</t>
  </si>
  <si>
    <t>262626</t>
  </si>
  <si>
    <t>494529</t>
  </si>
  <si>
    <t>16365C</t>
  </si>
  <si>
    <t>366092</t>
  </si>
  <si>
    <t>963634</t>
  </si>
  <si>
    <t>76933C</t>
  </si>
  <si>
    <t>60497A</t>
  </si>
  <si>
    <t>31869B</t>
  </si>
  <si>
    <t>E26B0A</t>
  </si>
  <si>
    <t>0D0D0D</t>
  </si>
  <si>
    <t>1D1B10</t>
  </si>
  <si>
    <t>0F243E</t>
  </si>
  <si>
    <t>244062</t>
  </si>
  <si>
    <t>632523</t>
  </si>
  <si>
    <t>4F6228</t>
  </si>
  <si>
    <t>403151</t>
  </si>
  <si>
    <t>215967</t>
  </si>
  <si>
    <t>974706</t>
  </si>
  <si>
    <t>C00000</t>
  </si>
  <si>
    <t>FF0000</t>
  </si>
  <si>
    <t>FFC000</t>
  </si>
  <si>
    <t>FFFF00</t>
  </si>
  <si>
    <t>92D050</t>
  </si>
  <si>
    <t>00B050</t>
  </si>
  <si>
    <t>00B0F0</t>
  </si>
  <si>
    <t>0070C0</t>
  </si>
  <si>
    <t>002060</t>
  </si>
  <si>
    <t>7030A0</t>
  </si>
  <si>
    <t>VBA Enumeration Member</t>
  </si>
  <si>
    <t>Delimiter</t>
  </si>
  <si>
    <t>,</t>
  </si>
  <si>
    <t>Delimiter Length</t>
  </si>
  <si>
    <t>='Standard Office RGB Color Codes'!$Q$13</t>
  </si>
  <si>
    <t>='Standard Office RGB Color Codes'!$M$13</t>
  </si>
  <si>
    <t>='Standard Office RGB Color Codes'!$M$14:$M$18</t>
  </si>
  <si>
    <t>='Standard Office RGB Color Codes'!$F$13:$F$13</t>
  </si>
  <si>
    <t>='Standard Office RGB Color Codes'!$F$14:$F$18</t>
  </si>
  <si>
    <t>='Standard Office RGB Color Codes'!$N$12</t>
  </si>
  <si>
    <t>Selected Display Format ID</t>
  </si>
  <si>
    <t>Selected_Display_Format_ID</t>
  </si>
  <si>
    <t>Selected Delimiter</t>
  </si>
  <si>
    <t>Select_Display_Format</t>
  </si>
  <si>
    <t>Delimiter_Column_Label</t>
  </si>
  <si>
    <t>='Standard Office RGB Color Codes'!$N$13</t>
  </si>
  <si>
    <t>='Standard Office RGB Color Codes'!$F$14:$Q$18</t>
  </si>
  <si>
    <t>='Standard Office RGB Color Codes'!$F$13:$Q$13</t>
  </si>
  <si>
    <t>Selected_Delimiter</t>
  </si>
  <si>
    <t>='Standard Office RGB Color Codes'!$P$12</t>
  </si>
  <si>
    <t>Hexadecimal</t>
  </si>
  <si>
    <t>Decimal</t>
  </si>
  <si>
    <t>Number Format</t>
  </si>
  <si>
    <t>Number_Format</t>
  </si>
  <si>
    <t>Selected_Number_Format</t>
  </si>
  <si>
    <t>Valid Number Formats</t>
  </si>
  <si>
    <t>Format_as_Decimal</t>
  </si>
  <si>
    <t>='Standard Office RGB Color Codes'!$C$21</t>
  </si>
  <si>
    <t>Format_as_Hexadecimal</t>
  </si>
  <si>
    <t>='Standard Office RGB Color Codes'!$C$22</t>
  </si>
  <si>
    <t>Valid_Number_Formats</t>
  </si>
  <si>
    <t>='Standard Office RGB Color Codes'!$C$21:$C$22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</si>
</sst>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onsolas"/>
      <family val="2"/>
    </font>
    <font>
      <b/>
      <sz val="14"/>
      <color theme="9" tint="-0.499984740745262"/>
      <name val="Tahoma"/>
      <family val="2"/>
    </font>
    <font>
      <b/>
      <sz val="14"/>
      <color theme="1"/>
      <name val="Tahoma"/>
      <family val="2"/>
    </font>
    <font>
      <sz val="11"/>
      <color theme="1"/>
      <name val="Tahoma"/>
      <family val="2"/>
    </font>
    <font>
      <b/>
      <sz val="12"/>
      <color indexed="43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nsolas"/>
      <family val="3"/>
    </font>
    <font>
      <b/>
      <sz val="11"/>
      <name val="Tahoma"/>
      <family val="2"/>
    </font>
    <font>
      <b/>
      <sz val="14"/>
      <color rgb="FF002060"/>
      <name val="Tahoma"/>
      <family val="2"/>
    </font>
    <font>
      <b/>
      <sz val="14"/>
      <color theme="0"/>
      <name val="Tahoma"/>
      <family val="2"/>
    </font>
    <font>
      <b/>
      <sz val="14"/>
      <name val="Tahoma"/>
      <family val="2"/>
    </font>
    <font>
      <b/>
      <sz val="14"/>
      <color theme="5" tint="0.79998168889431442"/>
      <name val="Tahoma"/>
      <family val="2"/>
    </font>
    <font>
      <b/>
      <sz val="11"/>
      <color rgb="FF002060"/>
      <name val="Tahoma"/>
      <family val="2"/>
    </font>
    <font>
      <u/>
      <sz val="11"/>
      <color theme="10"/>
      <name val="Consolas"/>
      <family val="2"/>
    </font>
    <font>
      <b/>
      <sz val="11"/>
      <color theme="9" tint="-0.499984740745262"/>
      <name val="Tahoma"/>
      <family val="2"/>
    </font>
    <font>
      <sz val="11"/>
      <color theme="9" tint="-0.499984740745262"/>
      <name val="Consolas"/>
      <family val="2"/>
    </font>
    <font>
      <sz val="14"/>
      <color rgb="FF002060"/>
      <name val="Tahoma"/>
      <family val="2"/>
    </font>
    <font>
      <sz val="14"/>
      <color theme="1"/>
      <name val="Tahoma"/>
      <family val="2"/>
    </font>
  </fonts>
  <fills count="7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465926084170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0"/>
      </top>
      <bottom style="thin">
        <color theme="1" tint="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0" fontId="4" fillId="14" borderId="2"/>
    <xf numFmtId="0" fontId="5" fillId="0" borderId="0" applyNumberFormat="0" applyFill="0" applyBorder="0" applyAlignment="0" applyProtection="0"/>
    <xf numFmtId="0" fontId="6" fillId="0" borderId="0"/>
    <xf numFmtId="0" fontId="7" fillId="0" borderId="0"/>
    <xf numFmtId="0" fontId="8" fillId="0" borderId="0"/>
    <xf numFmtId="0" fontId="14" fillId="0" borderId="0" applyNumberFormat="0" applyFill="0" applyBorder="0" applyAlignment="0" applyProtection="0"/>
  </cellStyleXfs>
  <cellXfs count="94">
    <xf numFmtId="0" fontId="0" fillId="0" borderId="0" xfId="0"/>
    <xf numFmtId="0" fontId="1" fillId="2" borderId="2" xfId="0" applyFont="1" applyFill="1" applyBorder="1"/>
    <xf numFmtId="0" fontId="1" fillId="3" borderId="2" xfId="0" applyFont="1" applyFill="1" applyBorder="1"/>
    <xf numFmtId="0" fontId="2" fillId="4" borderId="2" xfId="0" applyFont="1" applyFill="1" applyBorder="1"/>
    <xf numFmtId="0" fontId="2" fillId="16" borderId="2" xfId="0" applyFont="1" applyFill="1" applyBorder="1"/>
    <xf numFmtId="49" fontId="2" fillId="5" borderId="2" xfId="0" applyNumberFormat="1" applyFont="1" applyFill="1" applyBorder="1"/>
    <xf numFmtId="49" fontId="2" fillId="17" borderId="2" xfId="0" applyNumberFormat="1" applyFont="1" applyFill="1" applyBorder="1"/>
    <xf numFmtId="49" fontId="2" fillId="23" borderId="2" xfId="0" applyNumberFormat="1" applyFont="1" applyFill="1" applyBorder="1"/>
    <xf numFmtId="49" fontId="2" fillId="29" borderId="2" xfId="0" applyNumberFormat="1" applyFont="1" applyFill="1" applyBorder="1"/>
    <xf numFmtId="49" fontId="2" fillId="3" borderId="2" xfId="0" applyNumberFormat="1" applyFont="1" applyFill="1" applyBorder="1"/>
    <xf numFmtId="49" fontId="2" fillId="18" borderId="2" xfId="0" applyNumberFormat="1" applyFont="1" applyFill="1" applyBorder="1"/>
    <xf numFmtId="49" fontId="2" fillId="24" borderId="2" xfId="0" applyNumberFormat="1" applyFont="1" applyFill="1" applyBorder="1"/>
    <xf numFmtId="49" fontId="2" fillId="30" borderId="2" xfId="0" applyNumberFormat="1" applyFont="1" applyFill="1" applyBorder="1"/>
    <xf numFmtId="49" fontId="2" fillId="6" borderId="2" xfId="0" applyNumberFormat="1" applyFont="1" applyFill="1" applyBorder="1"/>
    <xf numFmtId="49" fontId="2" fillId="19" borderId="2" xfId="0" applyNumberFormat="1" applyFont="1" applyFill="1" applyBorder="1"/>
    <xf numFmtId="49" fontId="2" fillId="25" borderId="2" xfId="0" applyNumberFormat="1" applyFont="1" applyFill="1" applyBorder="1"/>
    <xf numFmtId="49" fontId="2" fillId="31" borderId="2" xfId="0" applyNumberFormat="1" applyFont="1" applyFill="1" applyBorder="1"/>
    <xf numFmtId="49" fontId="10" fillId="63" borderId="2" xfId="0" applyNumberFormat="1" applyFont="1" applyFill="1" applyBorder="1"/>
    <xf numFmtId="49" fontId="10" fillId="64" borderId="2" xfId="0" applyNumberFormat="1" applyFont="1" applyFill="1" applyBorder="1"/>
    <xf numFmtId="49" fontId="2" fillId="65" borderId="2" xfId="0" applyNumberFormat="1" applyFont="1" applyFill="1" applyBorder="1"/>
    <xf numFmtId="49" fontId="2" fillId="66" borderId="2" xfId="0" applyNumberFormat="1" applyFont="1" applyFill="1" applyBorder="1"/>
    <xf numFmtId="49" fontId="2" fillId="67" borderId="2" xfId="0" applyNumberFormat="1" applyFont="1" applyFill="1" applyBorder="1"/>
    <xf numFmtId="49" fontId="10" fillId="68" borderId="2" xfId="0" applyNumberFormat="1" applyFont="1" applyFill="1" applyBorder="1"/>
    <xf numFmtId="49" fontId="2" fillId="69" borderId="2" xfId="0" applyNumberFormat="1" applyFont="1" applyFill="1" applyBorder="1"/>
    <xf numFmtId="49" fontId="10" fillId="70" borderId="2" xfId="0" applyNumberFormat="1" applyFont="1" applyFill="1" applyBorder="1"/>
    <xf numFmtId="49" fontId="11" fillId="35" borderId="2" xfId="0" applyNumberFormat="1" applyFont="1" applyFill="1" applyBorder="1"/>
    <xf numFmtId="49" fontId="2" fillId="41" borderId="2" xfId="0" applyNumberFormat="1" applyFont="1" applyFill="1" applyBorder="1"/>
    <xf numFmtId="49" fontId="2" fillId="47" borderId="2" xfId="0" applyNumberFormat="1" applyFont="1" applyFill="1" applyBorder="1"/>
    <xf numFmtId="49" fontId="2" fillId="53" borderId="2" xfId="0" applyNumberFormat="1" applyFont="1" applyFill="1" applyBorder="1"/>
    <xf numFmtId="49" fontId="2" fillId="2" borderId="2" xfId="0" applyNumberFormat="1" applyFont="1" applyFill="1" applyBorder="1"/>
    <xf numFmtId="49" fontId="2" fillId="36" borderId="2" xfId="0" applyNumberFormat="1" applyFont="1" applyFill="1" applyBorder="1"/>
    <xf numFmtId="49" fontId="2" fillId="42" borderId="2" xfId="0" applyNumberFormat="1" applyFont="1" applyFill="1" applyBorder="1"/>
    <xf numFmtId="49" fontId="2" fillId="48" borderId="2" xfId="0" applyNumberFormat="1" applyFont="1" applyFill="1" applyBorder="1"/>
    <xf numFmtId="49" fontId="2" fillId="54" borderId="2" xfId="0" applyNumberFormat="1" applyFont="1" applyFill="1" applyBorder="1"/>
    <xf numFmtId="49" fontId="2" fillId="59" borderId="2" xfId="0" applyNumberFormat="1" applyFont="1" applyFill="1" applyBorder="1"/>
    <xf numFmtId="49" fontId="2" fillId="37" borderId="2" xfId="0" applyNumberFormat="1" applyFont="1" applyFill="1" applyBorder="1"/>
    <xf numFmtId="49" fontId="2" fillId="43" borderId="2" xfId="0" applyNumberFormat="1" applyFont="1" applyFill="1" applyBorder="1"/>
    <xf numFmtId="49" fontId="2" fillId="49" borderId="2" xfId="0" applyNumberFormat="1" applyFont="1" applyFill="1" applyBorder="1"/>
    <xf numFmtId="49" fontId="2" fillId="55" borderId="2" xfId="0" applyNumberFormat="1" applyFont="1" applyFill="1" applyBorder="1"/>
    <xf numFmtId="49" fontId="2" fillId="60" borderId="2" xfId="0" applyNumberFormat="1" applyFont="1" applyFill="1" applyBorder="1"/>
    <xf numFmtId="49" fontId="10" fillId="71" borderId="2" xfId="0" applyNumberFormat="1" applyFont="1" applyFill="1" applyBorder="1"/>
    <xf numFmtId="49" fontId="10" fillId="72" borderId="2" xfId="0" applyNumberFormat="1" applyFont="1" applyFill="1" applyBorder="1"/>
    <xf numFmtId="49" fontId="10" fillId="7" borderId="2" xfId="0" applyNumberFormat="1" applyFont="1" applyFill="1" applyBorder="1"/>
    <xf numFmtId="49" fontId="10" fillId="13" borderId="2" xfId="0" applyNumberFormat="1" applyFont="1" applyFill="1" applyBorder="1"/>
    <xf numFmtId="49" fontId="10" fillId="20" borderId="2" xfId="0" applyNumberFormat="1" applyFont="1" applyFill="1" applyBorder="1"/>
    <xf numFmtId="49" fontId="10" fillId="26" borderId="2" xfId="0" applyNumberFormat="1" applyFont="1" applyFill="1" applyBorder="1"/>
    <xf numFmtId="49" fontId="10" fillId="32" borderId="2" xfId="0" applyNumberFormat="1" applyFont="1" applyFill="1" applyBorder="1"/>
    <xf numFmtId="49" fontId="10" fillId="38" borderId="2" xfId="0" applyNumberFormat="1" applyFont="1" applyFill="1" applyBorder="1"/>
    <xf numFmtId="49" fontId="10" fillId="44" borderId="2" xfId="0" applyNumberFormat="1" applyFont="1" applyFill="1" applyBorder="1"/>
    <xf numFmtId="49" fontId="10" fillId="50" borderId="2" xfId="0" applyNumberFormat="1" applyFont="1" applyFill="1" applyBorder="1"/>
    <xf numFmtId="49" fontId="10" fillId="56" borderId="2" xfId="0" applyNumberFormat="1" applyFont="1" applyFill="1" applyBorder="1"/>
    <xf numFmtId="49" fontId="10" fillId="61" borderId="2" xfId="0" applyNumberFormat="1" applyFont="1" applyFill="1" applyBorder="1"/>
    <xf numFmtId="49" fontId="10" fillId="8" borderId="2" xfId="0" applyNumberFormat="1" applyFont="1" applyFill="1" applyBorder="1"/>
    <xf numFmtId="49" fontId="10" fillId="15" borderId="2" xfId="0" applyNumberFormat="1" applyFont="1" applyFill="1" applyBorder="1"/>
    <xf numFmtId="49" fontId="10" fillId="21" borderId="2" xfId="0" applyNumberFormat="1" applyFont="1" applyFill="1" applyBorder="1"/>
    <xf numFmtId="49" fontId="10" fillId="27" borderId="2" xfId="0" applyNumberFormat="1" applyFont="1" applyFill="1" applyBorder="1"/>
    <xf numFmtId="49" fontId="10" fillId="33" borderId="2" xfId="0" applyNumberFormat="1" applyFont="1" applyFill="1" applyBorder="1"/>
    <xf numFmtId="49" fontId="10" fillId="39" borderId="2" xfId="0" applyNumberFormat="1" applyFont="1" applyFill="1" applyBorder="1"/>
    <xf numFmtId="49" fontId="10" fillId="45" borderId="2" xfId="0" applyNumberFormat="1" applyFont="1" applyFill="1" applyBorder="1"/>
    <xf numFmtId="49" fontId="10" fillId="51" borderId="2" xfId="0" applyNumberFormat="1" applyFont="1" applyFill="1" applyBorder="1"/>
    <xf numFmtId="49" fontId="10" fillId="57" borderId="2" xfId="0" applyNumberFormat="1" applyFont="1" applyFill="1" applyBorder="1"/>
    <xf numFmtId="49" fontId="10" fillId="62" borderId="2" xfId="0" applyNumberFormat="1" applyFont="1" applyFill="1" applyBorder="1"/>
    <xf numFmtId="0" fontId="10" fillId="9" borderId="2" xfId="0" applyFont="1" applyFill="1" applyBorder="1"/>
    <xf numFmtId="0" fontId="10" fillId="22" borderId="2" xfId="0" applyFont="1" applyFill="1" applyBorder="1"/>
    <xf numFmtId="0" fontId="10" fillId="28" borderId="2" xfId="0" applyFont="1" applyFill="1" applyBorder="1"/>
    <xf numFmtId="49" fontId="12" fillId="34" borderId="2" xfId="0" applyNumberFormat="1" applyFont="1" applyFill="1" applyBorder="1"/>
    <xf numFmtId="0" fontId="2" fillId="52" borderId="2" xfId="0" applyFont="1" applyFill="1" applyBorder="1"/>
    <xf numFmtId="0" fontId="2" fillId="58" borderId="2" xfId="0" applyFont="1" applyFill="1" applyBorder="1"/>
    <xf numFmtId="0" fontId="10" fillId="40" borderId="2" xfId="0" applyFont="1" applyFill="1" applyBorder="1"/>
    <xf numFmtId="0" fontId="10" fillId="46" borderId="2" xfId="0" applyFont="1" applyFill="1" applyBorder="1"/>
    <xf numFmtId="49" fontId="10" fillId="10" borderId="2" xfId="0" applyNumberFormat="1" applyFont="1" applyFill="1" applyBorder="1"/>
    <xf numFmtId="49" fontId="10" fillId="11" borderId="2" xfId="0" applyNumberFormat="1" applyFont="1" applyFill="1" applyBorder="1"/>
    <xf numFmtId="49" fontId="10" fillId="12" borderId="2" xfId="0" applyNumberFormat="1" applyFont="1" applyFill="1" applyBorder="1"/>
    <xf numFmtId="0" fontId="3" fillId="0" borderId="2" xfId="0" applyFont="1" applyBorder="1"/>
    <xf numFmtId="3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  <xf numFmtId="3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10" fillId="73" borderId="7" xfId="0" applyFont="1" applyFill="1" applyBorder="1"/>
    <xf numFmtId="0" fontId="3" fillId="0" borderId="0" xfId="0" applyFont="1"/>
    <xf numFmtId="0" fontId="0" fillId="0" borderId="2" xfId="0" applyBorder="1"/>
    <xf numFmtId="0" fontId="9" fillId="0" borderId="3" xfId="0" applyFont="1" applyBorder="1"/>
    <xf numFmtId="0" fontId="9" fillId="0" borderId="1" xfId="0" applyFont="1" applyBorder="1"/>
    <xf numFmtId="0" fontId="13" fillId="0" borderId="2" xfId="0" applyFont="1" applyBorder="1"/>
    <xf numFmtId="0" fontId="14" fillId="0" borderId="6" xfId="6" applyBorder="1" applyAlignment="1">
      <alignment vertical="top"/>
    </xf>
    <xf numFmtId="0" fontId="14" fillId="0" borderId="5" xfId="6" applyBorder="1" applyAlignment="1">
      <alignment vertical="top"/>
    </xf>
    <xf numFmtId="0" fontId="15" fillId="2" borderId="2" xfId="0" applyFont="1" applyFill="1" applyBorder="1"/>
    <xf numFmtId="0" fontId="16" fillId="2" borderId="2" xfId="0" applyFont="1" applyFill="1" applyBorder="1"/>
    <xf numFmtId="0" fontId="9" fillId="0" borderId="2" xfId="0" applyFont="1" applyBorder="1"/>
    <xf numFmtId="0" fontId="9" fillId="0" borderId="2" xfId="0" applyFont="1" applyBorder="1"/>
    <xf numFmtId="0" fontId="3" fillId="0" borderId="0" xfId="0" applyFont="1" applyFill="1" applyBorder="1"/>
    <xf numFmtId="0" fontId="17" fillId="42" borderId="2" xfId="0" applyFont="1" applyFill="1" applyBorder="1" applyProtection="1">
      <protection locked="0"/>
    </xf>
    <xf numFmtId="0" fontId="18" fillId="0" borderId="4" xfId="0" applyFont="1" applyBorder="1"/>
    <xf numFmtId="0" fontId="18" fillId="0" borderId="0" xfId="0" applyFont="1"/>
  </cellXfs>
  <cellStyles count="7">
    <cellStyle name="Column_Label" xfId="1"/>
    <cellStyle name="Hyperlink" xfId="6" builtinId="8"/>
    <cellStyle name="Hyperlink 2" xfId="2"/>
    <cellStyle name="Normal" xfId="0" builtinId="0"/>
    <cellStyle name="Normal 2" xfId="3"/>
    <cellStyle name="Normal 3" xfId="4"/>
    <cellStyle name="Row_Label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DAVE\Documents\Articles_2015\Report_Design_and_Layout_Conventions\images\Office_2010_Color_Palette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123825</xdr:rowOff>
    </xdr:from>
    <xdr:to>
      <xdr:col>0</xdr:col>
      <xdr:colOff>2591390</xdr:colOff>
      <xdr:row>17</xdr:row>
      <xdr:rowOff>188051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104900"/>
          <a:ext cx="2591390" cy="3188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2" tint="-0.499984740745262"/>
  </sheetPr>
  <dimension ref="A1:M32"/>
  <sheetViews>
    <sheetView windowProtection="1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A19" sqref="A19"/>
    </sheetView>
  </sheetViews>
  <sheetFormatPr defaultRowHeight="15" x14ac:dyDescent="0.25"/>
  <cols>
    <col min="1" max="1" width="35.625" bestFit="1" customWidth="1"/>
    <col min="2" max="2" width="47" bestFit="1" customWidth="1"/>
    <col min="3" max="3" width="37.75" bestFit="1" customWidth="1"/>
    <col min="4" max="4" width="32.5" bestFit="1" customWidth="1"/>
    <col min="5" max="5" width="11.875" bestFit="1" customWidth="1"/>
    <col min="6" max="6" width="7.75" bestFit="1" customWidth="1"/>
    <col min="7" max="7" width="11.5" bestFit="1" customWidth="1"/>
    <col min="8" max="8" width="6.875" bestFit="1" customWidth="1"/>
  </cols>
  <sheetData>
    <row r="1" spans="1:13" ht="18" x14ac:dyDescent="0.25">
      <c r="A1" s="78" t="s">
        <v>19</v>
      </c>
      <c r="B1" s="78" t="s">
        <v>18</v>
      </c>
      <c r="C1" s="78" t="s">
        <v>17</v>
      </c>
      <c r="D1" s="78" t="s">
        <v>16</v>
      </c>
      <c r="E1" s="78" t="s">
        <v>15</v>
      </c>
      <c r="F1" s="78" t="s">
        <v>14</v>
      </c>
      <c r="G1" s="78" t="s">
        <v>13</v>
      </c>
      <c r="H1" s="78" t="s">
        <v>12</v>
      </c>
      <c r="K1" t="str">
        <f>A1</f>
        <v>Name</v>
      </c>
      <c r="L1" t="str">
        <f>E1</f>
        <v>Address</v>
      </c>
      <c r="M1" t="str">
        <f>C1</f>
        <v>Origin Cell Contents</v>
      </c>
    </row>
    <row r="2" spans="1:13" x14ac:dyDescent="0.25">
      <c r="A2" s="85" t="s">
        <v>106</v>
      </c>
      <c r="B2" s="75" t="s">
        <v>107</v>
      </c>
      <c r="C2" s="77" t="str">
        <f t="shared" ref="C2:C32" ca="1" si="0">IF(LEN($A2)&gt;0,CELL("contents",OFFSET(INDIRECT($A2),0,0)),"")</f>
        <v>Delimiter</v>
      </c>
      <c r="D2" s="77" t="str">
        <f t="shared" ref="D2:D32" si="1">IF(LEN($B2)&gt;0,SUBSTITUTE(MID($B2,2,FIND("!",$B2)-2),"'",""),"")</f>
        <v>Standard Office RGB Color Codes</v>
      </c>
      <c r="E2" s="77" t="str">
        <f t="shared" ref="E2:E32" si="2">IF(LEN($B2)&gt;0,RIGHT($B2,LEN($B2)-FIND("!",$B2)),"")</f>
        <v>$N$13</v>
      </c>
      <c r="F2" s="76">
        <f t="shared" ref="F2:F32" ca="1" si="3">IF(LEN($A2)&gt;0,ROWS(INDIRECT($A2)),"")</f>
        <v>1</v>
      </c>
      <c r="G2" s="76">
        <f t="shared" ref="G2:G32" ca="1" si="4">IF(LEN($A2)&gt;0,COLUMNS(INDIRECT($A2)),"")</f>
        <v>1</v>
      </c>
      <c r="H2" s="76">
        <f t="shared" ref="H2" ca="1" si="5">IF(LEN($A2)&gt;0,F2*G2,"")</f>
        <v>1</v>
      </c>
    </row>
    <row r="3" spans="1:13" x14ac:dyDescent="0.25">
      <c r="A3" s="84" t="s">
        <v>11</v>
      </c>
      <c r="B3" s="75" t="s">
        <v>96</v>
      </c>
      <c r="C3" s="77" t="str">
        <f t="shared" ca="1" si="0"/>
        <v>VBA Enumeration Member</v>
      </c>
      <c r="D3" s="77" t="str">
        <f t="shared" si="1"/>
        <v>Standard Office RGB Color Codes</v>
      </c>
      <c r="E3" s="77" t="str">
        <f t="shared" si="2"/>
        <v>$Q$13</v>
      </c>
      <c r="F3" s="76">
        <f t="shared" ca="1" si="3"/>
        <v>1</v>
      </c>
      <c r="G3" s="76">
        <f t="shared" ca="1" si="4"/>
        <v>1</v>
      </c>
      <c r="H3" s="76">
        <f t="shared" ref="H3:H24" ca="1" si="6">IF(LEN($A3)&gt;0,F3*G3,"")</f>
        <v>1</v>
      </c>
      <c r="K3" t="str">
        <f t="shared" ref="K3:K15" si="7">A3</f>
        <v>Display_Format_ID</v>
      </c>
      <c r="L3" t="str">
        <f t="shared" ref="L3:L15" si="8">E3</f>
        <v>$Q$13</v>
      </c>
      <c r="M3" t="str">
        <f t="shared" ref="M3:M15" ca="1" si="9">C3</f>
        <v>VBA Enumeration Member</v>
      </c>
    </row>
    <row r="4" spans="1:13" x14ac:dyDescent="0.25">
      <c r="A4" s="85" t="s">
        <v>20</v>
      </c>
      <c r="B4" s="75" t="s">
        <v>97</v>
      </c>
      <c r="C4" s="75" t="str">
        <f t="shared" ca="1" si="0"/>
        <v>Index_of_Supported_Display_Fromats</v>
      </c>
      <c r="D4" s="75" t="str">
        <f t="shared" si="1"/>
        <v>Standard Office RGB Color Codes</v>
      </c>
      <c r="E4" s="75" t="str">
        <f t="shared" si="2"/>
        <v>$M$13</v>
      </c>
      <c r="F4" s="74">
        <f t="shared" ca="1" si="3"/>
        <v>1</v>
      </c>
      <c r="G4" s="74">
        <f t="shared" ca="1" si="4"/>
        <v>1</v>
      </c>
      <c r="H4" s="74">
        <f t="shared" ca="1" si="6"/>
        <v>1</v>
      </c>
      <c r="K4" t="str">
        <f t="shared" si="7"/>
        <v>Display_Format_IDs</v>
      </c>
      <c r="L4" t="str">
        <f t="shared" si="8"/>
        <v>$M$13</v>
      </c>
      <c r="M4" t="str">
        <f t="shared" ca="1" si="9"/>
        <v>Index_of_Supported_Display_Fromats</v>
      </c>
    </row>
    <row r="5" spans="1:13" x14ac:dyDescent="0.25">
      <c r="A5" s="85" t="s">
        <v>21</v>
      </c>
      <c r="B5" s="75" t="s">
        <v>108</v>
      </c>
      <c r="C5" s="75" t="str">
        <f t="shared" ca="1" si="0"/>
        <v>Hexadecimal String</v>
      </c>
      <c r="D5" s="75" t="str">
        <f t="shared" si="1"/>
        <v>Standard Office RGB Color Codes</v>
      </c>
      <c r="E5" s="75" t="str">
        <f t="shared" si="2"/>
        <v>$F$14:$Q$18</v>
      </c>
      <c r="F5" s="74">
        <f t="shared" ca="1" si="3"/>
        <v>5</v>
      </c>
      <c r="G5" s="74">
        <f t="shared" ca="1" si="4"/>
        <v>13</v>
      </c>
      <c r="H5" s="74">
        <f t="shared" ca="1" si="6"/>
        <v>65</v>
      </c>
      <c r="K5" t="str">
        <f t="shared" si="7"/>
        <v>Display_Formats_Map_Data</v>
      </c>
      <c r="L5" t="str">
        <f t="shared" si="8"/>
        <v>$F$14:$Q$18</v>
      </c>
      <c r="M5" t="str">
        <f t="shared" ca="1" si="9"/>
        <v>Hexadecimal String</v>
      </c>
    </row>
    <row r="6" spans="1:13" x14ac:dyDescent="0.25">
      <c r="A6" s="85" t="s">
        <v>22</v>
      </c>
      <c r="B6" s="77" t="s">
        <v>109</v>
      </c>
      <c r="C6" s="75" t="str">
        <f t="shared" ca="1" si="0"/>
        <v>Decimal Triplet, Comma Delimited</v>
      </c>
      <c r="D6" s="75" t="str">
        <f t="shared" si="1"/>
        <v>Standard Office RGB Color Codes</v>
      </c>
      <c r="E6" s="75" t="str">
        <f t="shared" si="2"/>
        <v>$F$13:$Q$13</v>
      </c>
      <c r="F6" s="74">
        <f t="shared" ca="1" si="3"/>
        <v>1</v>
      </c>
      <c r="G6" s="74">
        <f t="shared" ca="1" si="4"/>
        <v>13</v>
      </c>
      <c r="H6" s="74">
        <f t="shared" ca="1" si="6"/>
        <v>13</v>
      </c>
      <c r="K6" t="str">
        <f t="shared" si="7"/>
        <v>Display_Formats_Map_Labels</v>
      </c>
      <c r="L6" t="str">
        <f t="shared" si="8"/>
        <v>$F$13:$Q$13</v>
      </c>
      <c r="M6" t="str">
        <f t="shared" ca="1" si="9"/>
        <v>Decimal Triplet, Comma Delimited</v>
      </c>
    </row>
    <row r="7" spans="1:13" x14ac:dyDescent="0.25">
      <c r="A7" s="85" t="s">
        <v>118</v>
      </c>
      <c r="B7" s="75" t="s">
        <v>119</v>
      </c>
      <c r="C7" s="75" t="str">
        <f ca="1">IF(LEN($A7)&gt;0,CELL("contents",OFFSET(INDIRECT($A7),0,0)),"")</f>
        <v>Decimal</v>
      </c>
      <c r="D7" s="75" t="str">
        <f>IF(LEN($B7)&gt;0,SUBSTITUTE(MID($B7,2,FIND("!",$B7)-2),"'",""),"")</f>
        <v>Standard Office RGB Color Codes</v>
      </c>
      <c r="E7" s="75" t="str">
        <f>IF(LEN($B7)&gt;0,RIGHT($B7,LEN($B7)-FIND("!",$B7)),"")</f>
        <v>$C$21</v>
      </c>
      <c r="F7" s="74">
        <f ca="1">IF(LEN($A7)&gt;0,ROWS(INDIRECT($A7)),"")</f>
        <v>1</v>
      </c>
      <c r="G7" s="74">
        <f ca="1">IF(LEN($A7)&gt;0,COLUMNS(INDIRECT($A7)),"")</f>
        <v>1</v>
      </c>
      <c r="H7" s="74">
        <f ca="1">IF(LEN($A7)&gt;0,F7*G7,"")</f>
        <v>1</v>
      </c>
    </row>
    <row r="8" spans="1:13" x14ac:dyDescent="0.25">
      <c r="A8" s="84" t="s">
        <v>120</v>
      </c>
      <c r="B8" s="77" t="s">
        <v>121</v>
      </c>
      <c r="C8" s="77" t="str">
        <f ca="1">IF(LEN($A8)&gt;0,CELL("contents",OFFSET(INDIRECT($A8),0,0)),"")</f>
        <v>Hexadecimal</v>
      </c>
      <c r="D8" s="77" t="str">
        <f>IF(LEN($B8)&gt;0,SUBSTITUTE(MID($B8,2,FIND("!",$B8)-2),"'",""),"")</f>
        <v>Standard Office RGB Color Codes</v>
      </c>
      <c r="E8" s="77" t="str">
        <f>IF(LEN($B8)&gt;0,RIGHT($B8,LEN($B8)-FIND("!",$B8)),"")</f>
        <v>$C$22</v>
      </c>
      <c r="F8" s="76">
        <f ca="1">IF(LEN($A8)&gt;0,ROWS(INDIRECT($A8)),"")</f>
        <v>1</v>
      </c>
      <c r="G8" s="76">
        <f ca="1">IF(LEN($A8)&gt;0,COLUMNS(INDIRECT($A8)),"")</f>
        <v>1</v>
      </c>
      <c r="H8" s="76">
        <f ca="1">IF(LEN($A8)&gt;0,F8*G8,"")</f>
        <v>1</v>
      </c>
    </row>
    <row r="9" spans="1:13" x14ac:dyDescent="0.25">
      <c r="A9" s="85" t="s">
        <v>10</v>
      </c>
      <c r="B9" s="75" t="s">
        <v>98</v>
      </c>
      <c r="C9" s="75">
        <f t="shared" ca="1" si="0"/>
        <v>1</v>
      </c>
      <c r="D9" s="75" t="str">
        <f t="shared" si="1"/>
        <v>Standard Office RGB Color Codes</v>
      </c>
      <c r="E9" s="75" t="str">
        <f t="shared" si="2"/>
        <v>$M$14:$M$18</v>
      </c>
      <c r="F9" s="74">
        <f t="shared" ca="1" si="3"/>
        <v>5</v>
      </c>
      <c r="G9" s="74">
        <f t="shared" ca="1" si="4"/>
        <v>1</v>
      </c>
      <c r="H9" s="74">
        <f t="shared" ca="1" si="6"/>
        <v>5</v>
      </c>
      <c r="K9" t="str">
        <f t="shared" si="7"/>
        <v>Index_of_Supported_Display_Fromats</v>
      </c>
      <c r="L9" t="str">
        <f t="shared" si="8"/>
        <v>$M$14:$M$18</v>
      </c>
      <c r="M9">
        <f t="shared" ca="1" si="9"/>
        <v>1</v>
      </c>
    </row>
    <row r="10" spans="1:13" x14ac:dyDescent="0.25">
      <c r="A10" s="85" t="s">
        <v>115</v>
      </c>
      <c r="B10" s="75" t="s">
        <v>107</v>
      </c>
      <c r="C10" s="75" t="str">
        <f ca="1">IF(LEN($A10)&gt;0,CELL("contents",OFFSET(INDIRECT($A10),0,0)),"")</f>
        <v>Number Format</v>
      </c>
      <c r="D10" s="75" t="str">
        <f>IF(LEN($B10)&gt;0,SUBSTITUTE(MID($B10,2,FIND("!",$B10)-2),"'",""),"")</f>
        <v>Standard Office RGB Color Codes</v>
      </c>
      <c r="E10" s="75" t="str">
        <f>IF(LEN($B10)&gt;0,RIGHT($B10,LEN($B10)-FIND("!",$B10)),"")</f>
        <v>$N$13</v>
      </c>
      <c r="F10" s="74">
        <f ca="1">IF(LEN($A10)&gt;0,ROWS(INDIRECT($A10)),"")</f>
        <v>1</v>
      </c>
      <c r="G10" s="74">
        <f ca="1">IF(LEN($A10)&gt;0,COLUMNS(INDIRECT($A10)),"")</f>
        <v>1</v>
      </c>
      <c r="H10" s="74">
        <f ca="1">IF(LEN($A10)&gt;0,F10*G10,"")</f>
        <v>1</v>
      </c>
    </row>
    <row r="11" spans="1:13" x14ac:dyDescent="0.25">
      <c r="A11" s="85" t="s">
        <v>110</v>
      </c>
      <c r="B11" s="75" t="s">
        <v>111</v>
      </c>
      <c r="C11" s="75" t="str">
        <f ca="1">IF(LEN($A11)&gt;0,CELL("contents",OFFSET(INDIRECT($A11),0,0)),"")</f>
        <v>,</v>
      </c>
      <c r="D11" s="75" t="str">
        <f>IF(LEN($B11)&gt;0,SUBSTITUTE(MID($B11,2,FIND("!",$B11)-2),"'",""),"")</f>
        <v>Standard Office RGB Color Codes</v>
      </c>
      <c r="E11" s="75" t="str">
        <f>IF(LEN($B11)&gt;0,RIGHT($B11,LEN($B11)-FIND("!",$B11)),"")</f>
        <v>$P$12</v>
      </c>
      <c r="F11" s="74">
        <f ca="1">IF(LEN($A11)&gt;0,ROWS(INDIRECT($A11)),"")</f>
        <v>1</v>
      </c>
      <c r="G11" s="74">
        <f ca="1">IF(LEN($A11)&gt;0,COLUMNS(INDIRECT($A11)),"")</f>
        <v>1</v>
      </c>
      <c r="H11" s="74">
        <f ca="1">IF(LEN($A11)&gt;0,F11*G11,"")</f>
        <v>1</v>
      </c>
    </row>
    <row r="12" spans="1:13" x14ac:dyDescent="0.25">
      <c r="A12" s="85" t="s">
        <v>105</v>
      </c>
      <c r="B12" s="75" t="s">
        <v>99</v>
      </c>
      <c r="C12" s="75" t="str">
        <f t="shared" ca="1" si="0"/>
        <v>Decimal Triplet, Comma Delimited</v>
      </c>
      <c r="D12" s="75" t="str">
        <f t="shared" si="1"/>
        <v>Standard Office RGB Color Codes</v>
      </c>
      <c r="E12" s="75" t="str">
        <f t="shared" si="2"/>
        <v>$F$13:$F$13</v>
      </c>
      <c r="F12" s="74">
        <f t="shared" ca="1" si="3"/>
        <v>1</v>
      </c>
      <c r="G12" s="74">
        <f t="shared" ca="1" si="4"/>
        <v>1</v>
      </c>
      <c r="H12" s="74">
        <f t="shared" ca="1" si="6"/>
        <v>1</v>
      </c>
      <c r="K12" t="str">
        <f t="shared" si="7"/>
        <v>Select_Display_Format</v>
      </c>
      <c r="L12" t="str">
        <f t="shared" si="8"/>
        <v>$F$13:$F$13</v>
      </c>
      <c r="M12" t="str">
        <f t="shared" ca="1" si="9"/>
        <v>Decimal Triplet, Comma Delimited</v>
      </c>
    </row>
    <row r="13" spans="1:13" x14ac:dyDescent="0.25">
      <c r="A13" s="85" t="s">
        <v>103</v>
      </c>
      <c r="B13" s="75" t="s">
        <v>101</v>
      </c>
      <c r="C13" s="75">
        <f ca="1">IF(LEN($A13)&gt;0,CELL("contents",OFFSET(INDIRECT($A13),0,0)),"")</f>
        <v>5</v>
      </c>
      <c r="D13" s="75" t="str">
        <f>IF(LEN($B13)&gt;0,SUBSTITUTE(MID($B13,2,FIND("!",$B13)-2),"'",""),"")</f>
        <v>Standard Office RGB Color Codes</v>
      </c>
      <c r="E13" s="75" t="str">
        <f>IF(LEN($B13)&gt;0,RIGHT($B13,LEN($B13)-FIND("!",$B13)),"")</f>
        <v>$N$12</v>
      </c>
      <c r="F13" s="74">
        <f ca="1">IF(LEN($A13)&gt;0,ROWS(INDIRECT($A13)),"")</f>
        <v>1</v>
      </c>
      <c r="G13" s="74">
        <f ca="1">IF(LEN($A13)&gt;0,COLUMNS(INDIRECT($A13)),"")</f>
        <v>1</v>
      </c>
      <c r="H13" s="74">
        <f ca="1">IF(LEN($A13)&gt;0,F13*G13,"")</f>
        <v>1</v>
      </c>
      <c r="K13" t="str">
        <f t="shared" si="7"/>
        <v>Selected_Display_Format_ID</v>
      </c>
      <c r="L13" t="str">
        <f t="shared" si="8"/>
        <v>$N$12</v>
      </c>
      <c r="M13">
        <f t="shared" ca="1" si="9"/>
        <v>5</v>
      </c>
    </row>
    <row r="14" spans="1:13" x14ac:dyDescent="0.25">
      <c r="A14" s="85" t="s">
        <v>116</v>
      </c>
      <c r="B14" s="75" t="s">
        <v>101</v>
      </c>
      <c r="C14" s="75" t="str">
        <f ca="1">IF(LEN($A14)&gt;0,CELL("contents",OFFSET(INDIRECT($A14),0,0)),"")</f>
        <v>Decimal</v>
      </c>
      <c r="D14" s="75" t="str">
        <f>IF(LEN($B14)&gt;0,SUBSTITUTE(MID($B14,2,FIND("!",$B14)-2),"'",""),"")</f>
        <v>Standard Office RGB Color Codes</v>
      </c>
      <c r="E14" s="75" t="str">
        <f>IF(LEN($B14)&gt;0,RIGHT($B14,LEN($B14)-FIND("!",$B14)),"")</f>
        <v>$N$12</v>
      </c>
      <c r="F14" s="74">
        <f ca="1">IF(LEN($A14)&gt;0,ROWS(INDIRECT($A14)),"")</f>
        <v>1</v>
      </c>
      <c r="G14" s="74">
        <f ca="1">IF(LEN($A14)&gt;0,COLUMNS(INDIRECT($A14)),"")</f>
        <v>1</v>
      </c>
      <c r="H14" s="74">
        <f ca="1">IF(LEN($A14)&gt;0,F14*G14,"")</f>
        <v>1</v>
      </c>
    </row>
    <row r="15" spans="1:13" x14ac:dyDescent="0.25">
      <c r="A15" s="85" t="s">
        <v>9</v>
      </c>
      <c r="B15" s="75" t="s">
        <v>100</v>
      </c>
      <c r="C15" s="75" t="str">
        <f t="shared" ca="1" si="0"/>
        <v>Hexadecimal String</v>
      </c>
      <c r="D15" s="75" t="str">
        <f t="shared" si="1"/>
        <v>Standard Office RGB Color Codes</v>
      </c>
      <c r="E15" s="75" t="str">
        <f t="shared" si="2"/>
        <v>$F$14:$F$18</v>
      </c>
      <c r="F15" s="74">
        <f t="shared" ca="1" si="3"/>
        <v>5</v>
      </c>
      <c r="G15" s="74">
        <f t="shared" ca="1" si="4"/>
        <v>1</v>
      </c>
      <c r="H15" s="74">
        <f t="shared" ca="1" si="6"/>
        <v>5</v>
      </c>
      <c r="K15" t="str">
        <f t="shared" si="7"/>
        <v>Supported_Display_Fromats</v>
      </c>
      <c r="L15" t="str">
        <f t="shared" si="8"/>
        <v>$F$14:$F$18</v>
      </c>
      <c r="M15" t="str">
        <f t="shared" ca="1" si="9"/>
        <v>Hexadecimal String</v>
      </c>
    </row>
    <row r="16" spans="1:13" x14ac:dyDescent="0.25">
      <c r="A16" s="84" t="s">
        <v>122</v>
      </c>
      <c r="B16" s="77" t="s">
        <v>123</v>
      </c>
      <c r="C16" s="77" t="str">
        <f ca="1">IF(LEN($A16)&gt;0,CELL("contents",OFFSET(INDIRECT($A16),0,0)),"")</f>
        <v>Decimal</v>
      </c>
      <c r="D16" s="77" t="str">
        <f>IF(LEN($B16)&gt;0,SUBSTITUTE(MID($B16,2,FIND("!",$B16)-2),"'",""),"")</f>
        <v>Standard Office RGB Color Codes</v>
      </c>
      <c r="E16" s="77" t="str">
        <f>IF(LEN($B16)&gt;0,RIGHT($B16,LEN($B16)-FIND("!",$B16)),"")</f>
        <v>$C$21:$C$22</v>
      </c>
      <c r="F16" s="76">
        <f ca="1">IF(LEN($A16)&gt;0,ROWS(INDIRECT($A16)),"")</f>
        <v>2</v>
      </c>
      <c r="G16" s="76">
        <f ca="1">IF(LEN($A16)&gt;0,COLUMNS(INDIRECT($A16)),"")</f>
        <v>1</v>
      </c>
      <c r="H16" s="76">
        <f ca="1">IF(LEN($A16)&gt;0,F16*G16,"")</f>
        <v>2</v>
      </c>
    </row>
    <row r="17" spans="1:8" x14ac:dyDescent="0.25">
      <c r="A17" s="75"/>
      <c r="B17" s="75"/>
      <c r="C17" s="75" t="str">
        <f t="shared" ca="1" si="0"/>
        <v/>
      </c>
      <c r="D17" s="75" t="str">
        <f t="shared" si="1"/>
        <v/>
      </c>
      <c r="E17" s="75" t="str">
        <f t="shared" si="2"/>
        <v/>
      </c>
      <c r="F17" s="74" t="str">
        <f t="shared" ca="1" si="3"/>
        <v/>
      </c>
      <c r="G17" s="74" t="str">
        <f t="shared" ca="1" si="4"/>
        <v/>
      </c>
      <c r="H17" s="74" t="str">
        <f t="shared" si="6"/>
        <v/>
      </c>
    </row>
    <row r="18" spans="1:8" x14ac:dyDescent="0.25">
      <c r="A18" s="75"/>
      <c r="B18" s="75"/>
      <c r="C18" s="75" t="str">
        <f t="shared" ca="1" si="0"/>
        <v/>
      </c>
      <c r="D18" s="75" t="str">
        <f t="shared" si="1"/>
        <v/>
      </c>
      <c r="E18" s="75" t="str">
        <f t="shared" si="2"/>
        <v/>
      </c>
      <c r="F18" s="74" t="str">
        <f t="shared" ca="1" si="3"/>
        <v/>
      </c>
      <c r="G18" s="74" t="str">
        <f t="shared" ca="1" si="4"/>
        <v/>
      </c>
      <c r="H18" s="74" t="str">
        <f t="shared" si="6"/>
        <v/>
      </c>
    </row>
    <row r="19" spans="1:8" x14ac:dyDescent="0.25">
      <c r="A19" s="75"/>
      <c r="B19" s="75"/>
      <c r="C19" s="75" t="str">
        <f t="shared" ca="1" si="0"/>
        <v/>
      </c>
      <c r="D19" s="75" t="str">
        <f t="shared" si="1"/>
        <v/>
      </c>
      <c r="E19" s="75" t="str">
        <f t="shared" si="2"/>
        <v/>
      </c>
      <c r="F19" s="74" t="str">
        <f t="shared" ca="1" si="3"/>
        <v/>
      </c>
      <c r="G19" s="74" t="str">
        <f t="shared" ca="1" si="4"/>
        <v/>
      </c>
      <c r="H19" s="74" t="str">
        <f t="shared" si="6"/>
        <v/>
      </c>
    </row>
    <row r="20" spans="1:8" x14ac:dyDescent="0.25">
      <c r="A20" s="75"/>
      <c r="B20" s="75"/>
      <c r="C20" s="75" t="str">
        <f t="shared" ca="1" si="0"/>
        <v/>
      </c>
      <c r="D20" s="75" t="str">
        <f t="shared" si="1"/>
        <v/>
      </c>
      <c r="E20" s="75" t="str">
        <f t="shared" si="2"/>
        <v/>
      </c>
      <c r="F20" s="74" t="str">
        <f t="shared" ca="1" si="3"/>
        <v/>
      </c>
      <c r="G20" s="74" t="str">
        <f t="shared" ca="1" si="4"/>
        <v/>
      </c>
      <c r="H20" s="74" t="str">
        <f t="shared" si="6"/>
        <v/>
      </c>
    </row>
    <row r="21" spans="1:8" x14ac:dyDescent="0.25">
      <c r="A21" s="75"/>
      <c r="B21" s="75"/>
      <c r="C21" s="75" t="str">
        <f t="shared" ca="1" si="0"/>
        <v/>
      </c>
      <c r="D21" s="75" t="str">
        <f t="shared" si="1"/>
        <v/>
      </c>
      <c r="E21" s="75" t="str">
        <f t="shared" si="2"/>
        <v/>
      </c>
      <c r="F21" s="74" t="str">
        <f t="shared" ca="1" si="3"/>
        <v/>
      </c>
      <c r="G21" s="74" t="str">
        <f t="shared" ca="1" si="4"/>
        <v/>
      </c>
      <c r="H21" s="74" t="str">
        <f t="shared" si="6"/>
        <v/>
      </c>
    </row>
    <row r="22" spans="1:8" x14ac:dyDescent="0.25">
      <c r="A22" s="75"/>
      <c r="B22" s="75"/>
      <c r="C22" s="75" t="str">
        <f t="shared" ca="1" si="0"/>
        <v/>
      </c>
      <c r="D22" s="75" t="str">
        <f t="shared" si="1"/>
        <v/>
      </c>
      <c r="E22" s="75" t="str">
        <f t="shared" si="2"/>
        <v/>
      </c>
      <c r="F22" s="74" t="str">
        <f t="shared" ca="1" si="3"/>
        <v/>
      </c>
      <c r="G22" s="74" t="str">
        <f t="shared" ca="1" si="4"/>
        <v/>
      </c>
      <c r="H22" s="74" t="str">
        <f t="shared" si="6"/>
        <v/>
      </c>
    </row>
    <row r="23" spans="1:8" x14ac:dyDescent="0.25">
      <c r="A23" s="75"/>
      <c r="B23" s="75"/>
      <c r="C23" s="75" t="str">
        <f t="shared" ca="1" si="0"/>
        <v/>
      </c>
      <c r="D23" s="75" t="str">
        <f t="shared" si="1"/>
        <v/>
      </c>
      <c r="E23" s="75" t="str">
        <f t="shared" si="2"/>
        <v/>
      </c>
      <c r="F23" s="74" t="str">
        <f t="shared" ca="1" si="3"/>
        <v/>
      </c>
      <c r="G23" s="74" t="str">
        <f t="shared" ca="1" si="4"/>
        <v/>
      </c>
      <c r="H23" s="74" t="str">
        <f t="shared" si="6"/>
        <v/>
      </c>
    </row>
    <row r="24" spans="1:8" x14ac:dyDescent="0.25">
      <c r="A24" s="75"/>
      <c r="B24" s="75"/>
      <c r="C24" s="75" t="str">
        <f t="shared" ca="1" si="0"/>
        <v/>
      </c>
      <c r="D24" s="75" t="str">
        <f t="shared" si="1"/>
        <v/>
      </c>
      <c r="E24" s="75" t="str">
        <f t="shared" si="2"/>
        <v/>
      </c>
      <c r="F24" s="74" t="str">
        <f t="shared" ca="1" si="3"/>
        <v/>
      </c>
      <c r="G24" s="74" t="str">
        <f t="shared" ca="1" si="4"/>
        <v/>
      </c>
      <c r="H24" s="74" t="str">
        <f t="shared" si="6"/>
        <v/>
      </c>
    </row>
    <row r="25" spans="1:8" x14ac:dyDescent="0.25">
      <c r="A25" s="75"/>
      <c r="B25" s="75"/>
      <c r="C25" s="75" t="str">
        <f t="shared" ca="1" si="0"/>
        <v/>
      </c>
      <c r="D25" s="75" t="str">
        <f t="shared" si="1"/>
        <v/>
      </c>
      <c r="E25" s="75" t="str">
        <f t="shared" si="2"/>
        <v/>
      </c>
      <c r="F25" s="74" t="str">
        <f t="shared" ca="1" si="3"/>
        <v/>
      </c>
      <c r="G25" s="74" t="str">
        <f t="shared" ca="1" si="4"/>
        <v/>
      </c>
      <c r="H25" s="74" t="str">
        <f t="shared" ref="H25:H32" si="10">IF(LEN($A25)&gt;0,F25*G25,"")</f>
        <v/>
      </c>
    </row>
    <row r="26" spans="1:8" x14ac:dyDescent="0.25">
      <c r="A26" s="75"/>
      <c r="B26" s="75"/>
      <c r="C26" s="75" t="str">
        <f t="shared" ca="1" si="0"/>
        <v/>
      </c>
      <c r="D26" s="75" t="str">
        <f t="shared" si="1"/>
        <v/>
      </c>
      <c r="E26" s="75" t="str">
        <f t="shared" si="2"/>
        <v/>
      </c>
      <c r="F26" s="74" t="str">
        <f t="shared" ca="1" si="3"/>
        <v/>
      </c>
      <c r="G26" s="74" t="str">
        <f t="shared" ca="1" si="4"/>
        <v/>
      </c>
      <c r="H26" s="74" t="str">
        <f t="shared" si="10"/>
        <v/>
      </c>
    </row>
    <row r="27" spans="1:8" x14ac:dyDescent="0.25">
      <c r="A27" s="75"/>
      <c r="B27" s="75"/>
      <c r="C27" s="75" t="str">
        <f t="shared" ca="1" si="0"/>
        <v/>
      </c>
      <c r="D27" s="75" t="str">
        <f t="shared" si="1"/>
        <v/>
      </c>
      <c r="E27" s="75" t="str">
        <f t="shared" si="2"/>
        <v/>
      </c>
      <c r="F27" s="74" t="str">
        <f t="shared" ca="1" si="3"/>
        <v/>
      </c>
      <c r="G27" s="74" t="str">
        <f t="shared" ca="1" si="4"/>
        <v/>
      </c>
      <c r="H27" s="74" t="str">
        <f t="shared" si="10"/>
        <v/>
      </c>
    </row>
    <row r="28" spans="1:8" x14ac:dyDescent="0.25">
      <c r="A28" s="75"/>
      <c r="B28" s="75"/>
      <c r="C28" s="75" t="str">
        <f t="shared" ca="1" si="0"/>
        <v/>
      </c>
      <c r="D28" s="75" t="str">
        <f t="shared" si="1"/>
        <v/>
      </c>
      <c r="E28" s="75" t="str">
        <f t="shared" si="2"/>
        <v/>
      </c>
      <c r="F28" s="74" t="str">
        <f t="shared" ca="1" si="3"/>
        <v/>
      </c>
      <c r="G28" s="74" t="str">
        <f t="shared" ca="1" si="4"/>
        <v/>
      </c>
      <c r="H28" s="74" t="str">
        <f t="shared" si="10"/>
        <v/>
      </c>
    </row>
    <row r="30" spans="1:8" x14ac:dyDescent="0.25">
      <c r="A30" s="75"/>
      <c r="B30" s="75"/>
      <c r="C30" s="75" t="str">
        <f t="shared" ca="1" si="0"/>
        <v/>
      </c>
      <c r="D30" s="75" t="str">
        <f t="shared" si="1"/>
        <v/>
      </c>
      <c r="E30" s="75" t="str">
        <f t="shared" si="2"/>
        <v/>
      </c>
      <c r="F30" s="74" t="str">
        <f t="shared" ca="1" si="3"/>
        <v/>
      </c>
      <c r="G30" s="74" t="str">
        <f t="shared" ca="1" si="4"/>
        <v/>
      </c>
      <c r="H30" s="74" t="str">
        <f t="shared" si="10"/>
        <v/>
      </c>
    </row>
    <row r="31" spans="1:8" x14ac:dyDescent="0.25">
      <c r="A31" s="75"/>
      <c r="B31" s="75"/>
      <c r="C31" s="75" t="str">
        <f t="shared" ca="1" si="0"/>
        <v/>
      </c>
      <c r="D31" s="75" t="str">
        <f t="shared" si="1"/>
        <v/>
      </c>
      <c r="E31" s="75" t="str">
        <f t="shared" si="2"/>
        <v/>
      </c>
      <c r="F31" s="74" t="str">
        <f t="shared" ca="1" si="3"/>
        <v/>
      </c>
      <c r="G31" s="74" t="str">
        <f t="shared" ca="1" si="4"/>
        <v/>
      </c>
      <c r="H31" s="74" t="str">
        <f t="shared" si="10"/>
        <v/>
      </c>
    </row>
    <row r="32" spans="1:8" x14ac:dyDescent="0.25">
      <c r="A32" s="75"/>
      <c r="B32" s="75"/>
      <c r="C32" s="75" t="str">
        <f t="shared" ca="1" si="0"/>
        <v/>
      </c>
      <c r="D32" s="75" t="str">
        <f t="shared" si="1"/>
        <v/>
      </c>
      <c r="E32" s="75" t="str">
        <f t="shared" si="2"/>
        <v/>
      </c>
      <c r="F32" s="74" t="str">
        <f t="shared" ca="1" si="3"/>
        <v/>
      </c>
      <c r="G32" s="74" t="str">
        <f t="shared" ca="1" si="4"/>
        <v/>
      </c>
      <c r="H32" s="74" t="str">
        <f t="shared" si="10"/>
        <v/>
      </c>
    </row>
  </sheetData>
  <sheetProtection password="A871" sheet="1" objects="1" scenarios="1"/>
  <hyperlinks>
    <hyperlink ref="A3" location="Display_Format_ID" display="Display_Format_ID"/>
    <hyperlink ref="A4" location="Display_Format_IDs" display="Display_Format_IDs"/>
    <hyperlink ref="A5" location="Display_Formats_Map_Data" display="Display_Formats_Map_Data"/>
    <hyperlink ref="A6" location="Display_Formats_Map_Labels" display="Display_Formats_Map_Labels"/>
    <hyperlink ref="A15" location="Supported_Display_Fromats" display="Supported_Display_Fromats"/>
    <hyperlink ref="A13" location="Selected_Display_Format_ID" display="Selected_Display_Format_ID"/>
    <hyperlink ref="A9" location="Index_of_Supported_Display_Fromats" display="Index_of_Supported_Display_Fromats"/>
    <hyperlink ref="A12" location="Select_Display_Format" display="Select_Display_Format"/>
    <hyperlink ref="A2" location="Delimiter_Column_Label" display="Delimiter_Column_Label"/>
    <hyperlink ref="A11" location="Selected_Delimiter" display="Selected_Delimiter"/>
    <hyperlink ref="A10" location="Number_Format" display="Number_Format"/>
    <hyperlink ref="A14" location="Selected_Number_Format" display="Selected_Number_Format"/>
    <hyperlink ref="A16" location="Valid_Number_Formats" display="Valid_Number_Formats"/>
    <hyperlink ref="A7" location="Format_as_Decimal" display="Format_as_Decimal"/>
    <hyperlink ref="A8" location="Format_as_Hexadecimal" display="Format_as_Hexadecima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7030A0"/>
  </sheetPr>
  <dimension ref="A1:AC22"/>
  <sheetViews>
    <sheetView windowProtection="1" tabSelected="1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C16" sqref="C16"/>
    </sheetView>
  </sheetViews>
  <sheetFormatPr defaultRowHeight="15" x14ac:dyDescent="0.25"/>
  <cols>
    <col min="1" max="1" width="34.75" bestFit="1" customWidth="1"/>
    <col min="3" max="12" width="16.25" bestFit="1" customWidth="1"/>
    <col min="13" max="13" width="38.5" bestFit="1" customWidth="1"/>
    <col min="14" max="14" width="38.5" customWidth="1"/>
    <col min="15" max="15" width="9.875" bestFit="1" customWidth="1"/>
    <col min="16" max="16" width="18.75" bestFit="1" customWidth="1"/>
    <col min="17" max="17" width="30.375" bestFit="1" customWidth="1"/>
    <col min="18" max="18" width="32.75" bestFit="1" customWidth="1"/>
    <col min="20" max="21" width="10.875" bestFit="1" customWidth="1"/>
    <col min="22" max="22" width="11" bestFit="1" customWidth="1"/>
    <col min="23" max="23" width="10.625" bestFit="1" customWidth="1"/>
    <col min="24" max="24" width="10.5" bestFit="1" customWidth="1"/>
    <col min="25" max="25" width="10.75" bestFit="1" customWidth="1"/>
    <col min="26" max="26" width="10.625" bestFit="1" customWidth="1"/>
    <col min="27" max="28" width="10.875" bestFit="1" customWidth="1"/>
    <col min="29" max="29" width="10.5" bestFit="1" customWidth="1"/>
  </cols>
  <sheetData>
    <row r="1" spans="1:29" ht="18" x14ac:dyDescent="0.25">
      <c r="A1" s="1" t="s">
        <v>0</v>
      </c>
    </row>
    <row r="2" spans="1:29" ht="18" x14ac:dyDescent="0.25">
      <c r="A2" s="2"/>
      <c r="C2" s="81" t="s">
        <v>1</v>
      </c>
      <c r="D2" s="81"/>
      <c r="E2" s="81"/>
      <c r="F2" s="81"/>
      <c r="G2" s="81"/>
      <c r="H2" s="81"/>
      <c r="I2" s="81"/>
      <c r="J2" s="81"/>
      <c r="K2" s="81"/>
      <c r="L2" s="81"/>
      <c r="T2" s="81" t="s">
        <v>1</v>
      </c>
      <c r="U2" s="81"/>
      <c r="V2" s="81"/>
      <c r="W2" s="81"/>
      <c r="X2" s="81"/>
      <c r="Y2" s="81"/>
      <c r="Z2" s="81"/>
      <c r="AA2" s="81"/>
      <c r="AB2" s="81"/>
      <c r="AC2" s="81"/>
    </row>
    <row r="3" spans="1:29" ht="18" x14ac:dyDescent="0.25">
      <c r="A3" s="2"/>
      <c r="C3" s="3" t="str">
        <f>CONCATENATE(IF(Selected_Number_Format=Format_as_Hexadecimal,MID(T3,1,2),HEX2DEC(MID(T3,1,2))),Selected_Delimiter,IF(Selected_Number_Format=Format_as_Hexadecimal,MID(T3,3,2),HEX2DEC(MID(T3,3,2))),Selected_Delimiter,IF(Selected_Number_Format=Format_as_Hexadecimal,MID(T3,5,2),HEX2DEC(MID(T3,5,2))))</f>
        <v>255,255,255</v>
      </c>
      <c r="D3" s="62" t="str">
        <f>CONCATENATE(IF(Selected_Number_Format=Format_as_Hexadecimal,MID(U3,1,2),HEX2DEC(MID(U3,1,2))),Selected_Delimiter,IF(Selected_Number_Format=Format_as_Hexadecimal,MID(U3,3,2),HEX2DEC(MID(U3,3,2))),Selected_Delimiter,IF(Selected_Number_Format=Format_as_Hexadecimal,MID(U3,5,2),HEX2DEC(MID(U3,5,2))))</f>
        <v>0,0,0</v>
      </c>
      <c r="E3" s="4" t="str">
        <f>CONCATENATE(IF(Selected_Number_Format=Format_as_Hexadecimal,MID(V3,1,2),HEX2DEC(MID(V3,1,2))),Selected_Delimiter,IF(Selected_Number_Format=Format_as_Hexadecimal,MID(V3,3,2),HEX2DEC(MID(V3,3,2))),Selected_Delimiter,IF(Selected_Number_Format=Format_as_Hexadecimal,MID(V3,5,2),HEX2DEC(MID(V3,5,2))))</f>
        <v>238,236,225</v>
      </c>
      <c r="F3" s="63" t="str">
        <f>CONCATENATE(IF(Selected_Number_Format=Format_as_Hexadecimal,MID(W3,1,2),HEX2DEC(MID(W3,1,2))),Selected_Delimiter,IF(Selected_Number_Format=Format_as_Hexadecimal,MID(W3,3,2),HEX2DEC(MID(W3,3,2))),Selected_Delimiter,IF(Selected_Number_Format=Format_as_Hexadecimal,MID(W3,5,2),HEX2DEC(MID(W3,5,2))))</f>
        <v>31,73,125</v>
      </c>
      <c r="G3" s="64" t="str">
        <f>CONCATENATE(IF(Selected_Number_Format=Format_as_Hexadecimal,MID(X3,1,2),HEX2DEC(MID(X3,1,2))),Selected_Delimiter,IF(Selected_Number_Format=Format_as_Hexadecimal,MID(X3,3,2),HEX2DEC(MID(X3,3,2))),Selected_Delimiter,IF(Selected_Number_Format=Format_as_Hexadecimal,MID(X3,5,2),HEX2DEC(MID(X3,5,2))))</f>
        <v>79,129,189</v>
      </c>
      <c r="H3" s="65" t="str">
        <f>CONCATENATE(IF(Selected_Number_Format=Format_as_Hexadecimal,MID(Y3,1,2),HEX2DEC(MID(Y3,1,2))),Selected_Delimiter,IF(Selected_Number_Format=Format_as_Hexadecimal,MID(Y3,3,2),HEX2DEC(MID(Y3,3,2))),Selected_Delimiter,IF(Selected_Number_Format=Format_as_Hexadecimal,MID(Y3,5,2),HEX2DEC(MID(Y3,5,2))))</f>
        <v>192,80,77</v>
      </c>
      <c r="I3" s="68" t="str">
        <f>CONCATENATE(IF(Selected_Number_Format=Format_as_Hexadecimal,MID(Z3,1,2),HEX2DEC(MID(Z3,1,2))),Selected_Delimiter,IF(Selected_Number_Format=Format_as_Hexadecimal,MID(Z3,3,2),HEX2DEC(MID(Z3,3,2))),Selected_Delimiter,IF(Selected_Number_Format=Format_as_Hexadecimal,MID(Z3,5,2),HEX2DEC(MID(Z3,5,2))))</f>
        <v>155,187,89</v>
      </c>
      <c r="J3" s="69" t="str">
        <f>CONCATENATE(IF(Selected_Number_Format=Format_as_Hexadecimal,MID(AA3,1,2),HEX2DEC(MID(AA3,1,2))),Selected_Delimiter,IF(Selected_Number_Format=Format_as_Hexadecimal,MID(AA3,3,2),HEX2DEC(MID(AA3,3,2))),Selected_Delimiter,IF(Selected_Number_Format=Format_as_Hexadecimal,MID(AA3,5,2),HEX2DEC(MID(AA3,5,2))))</f>
        <v>128,100,162</v>
      </c>
      <c r="K3" s="66" t="str">
        <f>CONCATENATE(IF(Selected_Number_Format=Format_as_Hexadecimal,MID(AB3,1,2),HEX2DEC(MID(AB3,1,2))),Selected_Delimiter,IF(Selected_Number_Format=Format_as_Hexadecimal,MID(AB3,3,2),HEX2DEC(MID(AB3,3,2))),Selected_Delimiter,IF(Selected_Number_Format=Format_as_Hexadecimal,MID(AB3,5,2),HEX2DEC(MID(AB3,5,2))))</f>
        <v>75,172,198</v>
      </c>
      <c r="L3" s="67" t="str">
        <f>CONCATENATE(IF(Selected_Number_Format=Format_as_Hexadecimal,MID(AC3,1,2),HEX2DEC(MID(AC3,1,2))),Selected_Delimiter,IF(Selected_Number_Format=Format_as_Hexadecimal,MID(AC3,3,2),HEX2DEC(MID(AC3,3,2))),Selected_Delimiter,IF(Selected_Number_Format=Format_as_Hexadecimal,MID(AC3,5,2),HEX2DEC(MID(AC3,5,2))))</f>
        <v>247,150,70</v>
      </c>
      <c r="T3" s="3" t="s">
        <v>23</v>
      </c>
      <c r="U3" s="62" t="s">
        <v>24</v>
      </c>
      <c r="V3" s="4" t="s">
        <v>25</v>
      </c>
      <c r="W3" s="63" t="s">
        <v>26</v>
      </c>
      <c r="X3" s="64" t="s">
        <v>27</v>
      </c>
      <c r="Y3" s="65" t="s">
        <v>28</v>
      </c>
      <c r="Z3" s="68" t="s">
        <v>29</v>
      </c>
      <c r="AA3" s="69" t="s">
        <v>30</v>
      </c>
      <c r="AB3" s="66" t="s">
        <v>31</v>
      </c>
      <c r="AC3" s="67" t="s">
        <v>32</v>
      </c>
    </row>
    <row r="4" spans="1:29" x14ac:dyDescent="0.25">
      <c r="A4" s="80"/>
    </row>
    <row r="5" spans="1:29" ht="18" customHeight="1" x14ac:dyDescent="0.25">
      <c r="A5" s="80"/>
      <c r="C5" s="5" t="str">
        <f>CONCATENATE(IF(Selected_Number_Format=Format_as_Hexadecimal,MID(T5,1,2),HEX2DEC(MID(T5,1,2))),Selected_Delimiter,IF(Selected_Number_Format=Format_as_Hexadecimal,MID(T5,3,2),HEX2DEC(MID(T5,3,2))),Selected_Delimiter,IF(Selected_Number_Format=Format_as_Hexadecimal,MID(T5,5,2),HEX2DEC(MID(T5,5,2))))</f>
        <v>242,242,242</v>
      </c>
      <c r="D5" s="70" t="str">
        <f>CONCATENATE(IF(Selected_Number_Format=Format_as_Hexadecimal,MID(U5,1,2),HEX2DEC(MID(U5,1,2))),Selected_Delimiter,IF(Selected_Number_Format=Format_as_Hexadecimal,MID(U5,3,2),HEX2DEC(MID(U5,3,2))),Selected_Delimiter,IF(Selected_Number_Format=Format_as_Hexadecimal,MID(U5,5,2),HEX2DEC(MID(U5,5,2))))</f>
        <v>128,128,128</v>
      </c>
      <c r="E5" s="6" t="str">
        <f>CONCATENATE(IF(Selected_Number_Format=Format_as_Hexadecimal,MID(V5,1,2),HEX2DEC(MID(V5,1,2))),Selected_Delimiter,IF(Selected_Number_Format=Format_as_Hexadecimal,MID(V5,3,2),HEX2DEC(MID(V5,3,2))),Selected_Delimiter,IF(Selected_Number_Format=Format_as_Hexadecimal,MID(V5,5,2),HEX2DEC(MID(V5,5,2))))</f>
        <v>221,217,196</v>
      </c>
      <c r="F5" s="7" t="str">
        <f>CONCATENATE(IF(Selected_Number_Format=Format_as_Hexadecimal,MID(W5,1,2),HEX2DEC(MID(W5,1,2))),Selected_Delimiter,IF(Selected_Number_Format=Format_as_Hexadecimal,MID(W5,3,2),HEX2DEC(MID(W5,3,2))),Selected_Delimiter,IF(Selected_Number_Format=Format_as_Hexadecimal,MID(W5,5,2),HEX2DEC(MID(W5,5,2))))</f>
        <v>197,217,241</v>
      </c>
      <c r="G5" s="8" t="str">
        <f>CONCATENATE(IF(Selected_Number_Format=Format_as_Hexadecimal,MID(X5,1,2),HEX2DEC(MID(X5,1,2))),Selected_Delimiter,IF(Selected_Number_Format=Format_as_Hexadecimal,MID(X5,3,2),HEX2DEC(MID(X5,3,2))),Selected_Delimiter,IF(Selected_Number_Format=Format_as_Hexadecimal,MID(X5,5,2),HEX2DEC(MID(X5,5,2))))</f>
        <v>220,230,241</v>
      </c>
      <c r="H5" s="25" t="str">
        <f>CONCATENATE(IF(Selected_Number_Format=Format_as_Hexadecimal,MID(Y5,1,2),HEX2DEC(MID(Y5,1,2))),Selected_Delimiter,IF(Selected_Number_Format=Format_as_Hexadecimal,MID(Y5,3,2),HEX2DEC(MID(Y5,3,2))),Selected_Delimiter,IF(Selected_Number_Format=Format_as_Hexadecimal,MID(Y5,5,2),HEX2DEC(MID(Y5,5,2))))</f>
        <v>242,220,219</v>
      </c>
      <c r="I5" s="26" t="str">
        <f>CONCATENATE(IF(Selected_Number_Format=Format_as_Hexadecimal,MID(Z5,1,2),HEX2DEC(MID(Z5,1,2))),Selected_Delimiter,IF(Selected_Number_Format=Format_as_Hexadecimal,MID(Z5,3,2),HEX2DEC(MID(Z5,3,2))),Selected_Delimiter,IF(Selected_Number_Format=Format_as_Hexadecimal,MID(Z5,5,2),HEX2DEC(MID(Z5,5,2))))</f>
        <v>235,241,222</v>
      </c>
      <c r="J5" s="27" t="str">
        <f>CONCATENATE(IF(Selected_Number_Format=Format_as_Hexadecimal,MID(AA5,1,2),HEX2DEC(MID(AA5,1,2))),Selected_Delimiter,IF(Selected_Number_Format=Format_as_Hexadecimal,MID(AA5,3,2),HEX2DEC(MID(AA5,3,2))),Selected_Delimiter,IF(Selected_Number_Format=Format_as_Hexadecimal,MID(AA5,5,2),HEX2DEC(MID(AA5,5,2))))</f>
        <v>228,223,236</v>
      </c>
      <c r="K5" s="28" t="str">
        <f>CONCATENATE(IF(Selected_Number_Format=Format_as_Hexadecimal,MID(AB5,1,2),HEX2DEC(MID(AB5,1,2))),Selected_Delimiter,IF(Selected_Number_Format=Format_as_Hexadecimal,MID(AB5,3,2),HEX2DEC(MID(AB5,3,2))),Selected_Delimiter,IF(Selected_Number_Format=Format_as_Hexadecimal,MID(AB5,5,2),HEX2DEC(MID(AB5,5,2))))</f>
        <v>218,238,243</v>
      </c>
      <c r="L5" s="29" t="str">
        <f>CONCATENATE(IF(Selected_Number_Format=Format_as_Hexadecimal,MID(AC5,1,2),HEX2DEC(MID(AC5,1,2))),Selected_Delimiter,IF(Selected_Number_Format=Format_as_Hexadecimal,MID(AC5,3,2),HEX2DEC(MID(AC5,3,2))),Selected_Delimiter,IF(Selected_Number_Format=Format_as_Hexadecimal,MID(AC5,5,2),HEX2DEC(MID(AC5,5,2))))</f>
        <v>253,233,217</v>
      </c>
      <c r="T5" s="5" t="s">
        <v>33</v>
      </c>
      <c r="U5" s="70" t="s">
        <v>34</v>
      </c>
      <c r="V5" s="6" t="s">
        <v>35</v>
      </c>
      <c r="W5" s="7" t="s">
        <v>36</v>
      </c>
      <c r="X5" s="8" t="s">
        <v>37</v>
      </c>
      <c r="Y5" s="25" t="s">
        <v>38</v>
      </c>
      <c r="Z5" s="26" t="s">
        <v>39</v>
      </c>
      <c r="AA5" s="27" t="s">
        <v>40</v>
      </c>
      <c r="AB5" s="28" t="s">
        <v>41</v>
      </c>
      <c r="AC5" s="29" t="s">
        <v>42</v>
      </c>
    </row>
    <row r="6" spans="1:29" ht="18" x14ac:dyDescent="0.25">
      <c r="A6" s="80"/>
      <c r="C6" s="9" t="str">
        <f>CONCATENATE(IF(Selected_Number_Format=Format_as_Hexadecimal,MID(T6,1,2),HEX2DEC(MID(T6,1,2))),Selected_Delimiter,IF(Selected_Number_Format=Format_as_Hexadecimal,MID(T6,3,2),HEX2DEC(MID(T6,3,2))),Selected_Delimiter,IF(Selected_Number_Format=Format_as_Hexadecimal,MID(T6,5,2),HEX2DEC(MID(T6,5,2))))</f>
        <v>217,217,217</v>
      </c>
      <c r="D6" s="71" t="str">
        <f>CONCATENATE(IF(Selected_Number_Format=Format_as_Hexadecimal,MID(U6,1,2),HEX2DEC(MID(U6,1,2))),Selected_Delimiter,IF(Selected_Number_Format=Format_as_Hexadecimal,MID(U6,3,2),HEX2DEC(MID(U6,3,2))),Selected_Delimiter,IF(Selected_Number_Format=Format_as_Hexadecimal,MID(U6,5,2),HEX2DEC(MID(U6,5,2))))</f>
        <v>89,89,89</v>
      </c>
      <c r="E6" s="10" t="str">
        <f>CONCATENATE(IF(Selected_Number_Format=Format_as_Hexadecimal,MID(V6,1,2),HEX2DEC(MID(V6,1,2))),Selected_Delimiter,IF(Selected_Number_Format=Format_as_Hexadecimal,MID(V6,3,2),HEX2DEC(MID(V6,3,2))),Selected_Delimiter,IF(Selected_Number_Format=Format_as_Hexadecimal,MID(V6,5,2),HEX2DEC(MID(V6,5,2))))</f>
        <v>196,189,151</v>
      </c>
      <c r="F6" s="11" t="str">
        <f>CONCATENATE(IF(Selected_Number_Format=Format_as_Hexadecimal,MID(W6,1,2),HEX2DEC(MID(W6,1,2))),Selected_Delimiter,IF(Selected_Number_Format=Format_as_Hexadecimal,MID(W6,3,2),HEX2DEC(MID(W6,3,2))),Selected_Delimiter,IF(Selected_Number_Format=Format_as_Hexadecimal,MID(W6,5,2),HEX2DEC(MID(W6,5,2))))</f>
        <v>141,180,226</v>
      </c>
      <c r="G6" s="12" t="str">
        <f>CONCATENATE(IF(Selected_Number_Format=Format_as_Hexadecimal,MID(X6,1,2),HEX2DEC(MID(X6,1,2))),Selected_Delimiter,IF(Selected_Number_Format=Format_as_Hexadecimal,MID(X6,3,2),HEX2DEC(MID(X6,3,2))),Selected_Delimiter,IF(Selected_Number_Format=Format_as_Hexadecimal,MID(X6,5,2),HEX2DEC(MID(X6,5,2))))</f>
        <v>184,204,228</v>
      </c>
      <c r="H6" s="30" t="str">
        <f>CONCATENATE(IF(Selected_Number_Format=Format_as_Hexadecimal,MID(Y6,1,2),HEX2DEC(MID(Y6,1,2))),Selected_Delimiter,IF(Selected_Number_Format=Format_as_Hexadecimal,MID(Y6,3,2),HEX2DEC(MID(Y6,3,2))),Selected_Delimiter,IF(Selected_Number_Format=Format_as_Hexadecimal,MID(Y6,5,2),HEX2DEC(MID(Y6,5,2))))</f>
        <v>230,184,183</v>
      </c>
      <c r="I6" s="31" t="str">
        <f>CONCATENATE(IF(Selected_Number_Format=Format_as_Hexadecimal,MID(Z6,1,2),HEX2DEC(MID(Z6,1,2))),Selected_Delimiter,IF(Selected_Number_Format=Format_as_Hexadecimal,MID(Z6,3,2),HEX2DEC(MID(Z6,3,2))),Selected_Delimiter,IF(Selected_Number_Format=Format_as_Hexadecimal,MID(Z6,5,2),HEX2DEC(MID(Z6,5,2))))</f>
        <v>216,228,188</v>
      </c>
      <c r="J6" s="32" t="str">
        <f>CONCATENATE(IF(Selected_Number_Format=Format_as_Hexadecimal,MID(AA6,1,2),HEX2DEC(MID(AA6,1,2))),Selected_Delimiter,IF(Selected_Number_Format=Format_as_Hexadecimal,MID(AA6,3,2),HEX2DEC(MID(AA6,3,2))),Selected_Delimiter,IF(Selected_Number_Format=Format_as_Hexadecimal,MID(AA6,5,2),HEX2DEC(MID(AA6,5,2))))</f>
        <v>204,192,218</v>
      </c>
      <c r="K6" s="33" t="str">
        <f>CONCATENATE(IF(Selected_Number_Format=Format_as_Hexadecimal,MID(AB6,1,2),HEX2DEC(MID(AB6,1,2))),Selected_Delimiter,IF(Selected_Number_Format=Format_as_Hexadecimal,MID(AB6,3,2),HEX2DEC(MID(AB6,3,2))),Selected_Delimiter,IF(Selected_Number_Format=Format_as_Hexadecimal,MID(AB6,5,2),HEX2DEC(MID(AB6,5,2))))</f>
        <v>183,222,232</v>
      </c>
      <c r="L6" s="34" t="str">
        <f>CONCATENATE(IF(Selected_Number_Format=Format_as_Hexadecimal,MID(AC6,1,2),HEX2DEC(MID(AC6,1,2))),Selected_Delimiter,IF(Selected_Number_Format=Format_as_Hexadecimal,MID(AC6,3,2),HEX2DEC(MID(AC6,3,2))),Selected_Delimiter,IF(Selected_Number_Format=Format_as_Hexadecimal,MID(AC6,5,2),HEX2DEC(MID(AC6,5,2))))</f>
        <v>252,213,180</v>
      </c>
      <c r="T6" s="9" t="s">
        <v>43</v>
      </c>
      <c r="U6" s="71" t="s">
        <v>44</v>
      </c>
      <c r="V6" s="10" t="s">
        <v>45</v>
      </c>
      <c r="W6" s="11" t="s">
        <v>46</v>
      </c>
      <c r="X6" s="12" t="s">
        <v>47</v>
      </c>
      <c r="Y6" s="30" t="s">
        <v>48</v>
      </c>
      <c r="Z6" s="31" t="s">
        <v>49</v>
      </c>
      <c r="AA6" s="32" t="s">
        <v>50</v>
      </c>
      <c r="AB6" s="33" t="s">
        <v>51</v>
      </c>
      <c r="AC6" s="34" t="s">
        <v>52</v>
      </c>
    </row>
    <row r="7" spans="1:29" ht="18" x14ac:dyDescent="0.25">
      <c r="A7" s="80"/>
      <c r="C7" s="13" t="str">
        <f>CONCATENATE(IF(Selected_Number_Format=Format_as_Hexadecimal,MID(T7,1,2),HEX2DEC(MID(T7,1,2))),Selected_Delimiter,IF(Selected_Number_Format=Format_as_Hexadecimal,MID(T7,3,2),HEX2DEC(MID(T7,3,2))),Selected_Delimiter,IF(Selected_Number_Format=Format_as_Hexadecimal,MID(T7,5,2),HEX2DEC(MID(T7,5,2))))</f>
        <v>191,191,191</v>
      </c>
      <c r="D7" s="72" t="str">
        <f>CONCATENATE(IF(Selected_Number_Format=Format_as_Hexadecimal,MID(U7,1,2),HEX2DEC(MID(U7,1,2))),Selected_Delimiter,IF(Selected_Number_Format=Format_as_Hexadecimal,MID(U7,3,2),HEX2DEC(MID(U7,3,2))),Selected_Delimiter,IF(Selected_Number_Format=Format_as_Hexadecimal,MID(U7,5,2),HEX2DEC(MID(U7,5,2))))</f>
        <v>64,64,64</v>
      </c>
      <c r="E7" s="14" t="str">
        <f>CONCATENATE(IF(Selected_Number_Format=Format_as_Hexadecimal,MID(V7,1,2),HEX2DEC(MID(V7,1,2))),Selected_Delimiter,IF(Selected_Number_Format=Format_as_Hexadecimal,MID(V7,3,2),HEX2DEC(MID(V7,3,2))),Selected_Delimiter,IF(Selected_Number_Format=Format_as_Hexadecimal,MID(V7,5,2),HEX2DEC(MID(V7,5,2))))</f>
        <v>148,138,84</v>
      </c>
      <c r="F7" s="15" t="str">
        <f>CONCATENATE(IF(Selected_Number_Format=Format_as_Hexadecimal,MID(W7,1,2),HEX2DEC(MID(W7,1,2))),Selected_Delimiter,IF(Selected_Number_Format=Format_as_Hexadecimal,MID(W7,3,2),HEX2DEC(MID(W7,3,2))),Selected_Delimiter,IF(Selected_Number_Format=Format_as_Hexadecimal,MID(W7,5,2),HEX2DEC(MID(W7,5,2))))</f>
        <v>83,141,213</v>
      </c>
      <c r="G7" s="16" t="str">
        <f>CONCATENATE(IF(Selected_Number_Format=Format_as_Hexadecimal,MID(X7,1,2),HEX2DEC(MID(X7,1,2))),Selected_Delimiter,IF(Selected_Number_Format=Format_as_Hexadecimal,MID(X7,3,2),HEX2DEC(MID(X7,3,2))),Selected_Delimiter,IF(Selected_Number_Format=Format_as_Hexadecimal,MID(X7,5,2),HEX2DEC(MID(X7,5,2))))</f>
        <v>149,179,215</v>
      </c>
      <c r="H7" s="35" t="str">
        <f>CONCATENATE(IF(Selected_Number_Format=Format_as_Hexadecimal,MID(Y7,1,2),HEX2DEC(MID(Y7,1,2))),Selected_Delimiter,IF(Selected_Number_Format=Format_as_Hexadecimal,MID(Y7,3,2),HEX2DEC(MID(Y7,3,2))),Selected_Delimiter,IF(Selected_Number_Format=Format_as_Hexadecimal,MID(Y7,5,2),HEX2DEC(MID(Y7,5,2))))</f>
        <v>218,150,148</v>
      </c>
      <c r="I7" s="36" t="str">
        <f>CONCATENATE(IF(Selected_Number_Format=Format_as_Hexadecimal,MID(Z7,1,2),HEX2DEC(MID(Z7,1,2))),Selected_Delimiter,IF(Selected_Number_Format=Format_as_Hexadecimal,MID(Z7,3,2),HEX2DEC(MID(Z7,3,2))),Selected_Delimiter,IF(Selected_Number_Format=Format_as_Hexadecimal,MID(Z7,5,2),HEX2DEC(MID(Z7,5,2))))</f>
        <v>196,215,155</v>
      </c>
      <c r="J7" s="37" t="str">
        <f>CONCATENATE(IF(Selected_Number_Format=Format_as_Hexadecimal,MID(AA7,1,2),HEX2DEC(MID(AA7,1,2))),Selected_Delimiter,IF(Selected_Number_Format=Format_as_Hexadecimal,MID(AA7,3,2),HEX2DEC(MID(AA7,3,2))),Selected_Delimiter,IF(Selected_Number_Format=Format_as_Hexadecimal,MID(AA7,5,2),HEX2DEC(MID(AA7,5,2))))</f>
        <v>177,160,199</v>
      </c>
      <c r="K7" s="38" t="str">
        <f>CONCATENATE(IF(Selected_Number_Format=Format_as_Hexadecimal,MID(AB7,1,2),HEX2DEC(MID(AB7,1,2))),Selected_Delimiter,IF(Selected_Number_Format=Format_as_Hexadecimal,MID(AB7,3,2),HEX2DEC(MID(AB7,3,2))),Selected_Delimiter,IF(Selected_Number_Format=Format_as_Hexadecimal,MID(AB7,5,2),HEX2DEC(MID(AB7,5,2))))</f>
        <v>146,205,220</v>
      </c>
      <c r="L7" s="39" t="str">
        <f>CONCATENATE(IF(Selected_Number_Format=Format_as_Hexadecimal,MID(AC7,1,2),HEX2DEC(MID(AC7,1,2))),Selected_Delimiter,IF(Selected_Number_Format=Format_as_Hexadecimal,MID(AC7,3,2),HEX2DEC(MID(AC7,3,2))),Selected_Delimiter,IF(Selected_Number_Format=Format_as_Hexadecimal,MID(AC7,5,2),HEX2DEC(MID(AC7,5,2))))</f>
        <v>250,191,143</v>
      </c>
      <c r="T7" s="13" t="s">
        <v>53</v>
      </c>
      <c r="U7" s="72" t="s">
        <v>54</v>
      </c>
      <c r="V7" s="14" t="s">
        <v>55</v>
      </c>
      <c r="W7" s="15" t="s">
        <v>56</v>
      </c>
      <c r="X7" s="16" t="s">
        <v>57</v>
      </c>
      <c r="Y7" s="35" t="s">
        <v>58</v>
      </c>
      <c r="Z7" s="36" t="s">
        <v>59</v>
      </c>
      <c r="AA7" s="37" t="s">
        <v>60</v>
      </c>
      <c r="AB7" s="38" t="s">
        <v>61</v>
      </c>
      <c r="AC7" s="39" t="s">
        <v>62</v>
      </c>
    </row>
    <row r="8" spans="1:29" ht="18" x14ac:dyDescent="0.25">
      <c r="A8" s="80"/>
      <c r="C8" s="42" t="str">
        <f>CONCATENATE(IF(Selected_Number_Format=Format_as_Hexadecimal,MID(T8,1,2),HEX2DEC(MID(T8,1,2))),Selected_Delimiter,IF(Selected_Number_Format=Format_as_Hexadecimal,MID(T8,3,2),HEX2DEC(MID(T8,3,2))),Selected_Delimiter,IF(Selected_Number_Format=Format_as_Hexadecimal,MID(T8,5,2),HEX2DEC(MID(T8,5,2))))</f>
        <v>166,166,166</v>
      </c>
      <c r="D8" s="43" t="str">
        <f>CONCATENATE(IF(Selected_Number_Format=Format_as_Hexadecimal,MID(U8,1,2),HEX2DEC(MID(U8,1,2))),Selected_Delimiter,IF(Selected_Number_Format=Format_as_Hexadecimal,MID(U8,3,2),HEX2DEC(MID(U8,3,2))),Selected_Delimiter,IF(Selected_Number_Format=Format_as_Hexadecimal,MID(U8,5,2),HEX2DEC(MID(U8,5,2))))</f>
        <v>38,38,38</v>
      </c>
      <c r="E8" s="44" t="str">
        <f>CONCATENATE(IF(Selected_Number_Format=Format_as_Hexadecimal,MID(V8,1,2),HEX2DEC(MID(V8,1,2))),Selected_Delimiter,IF(Selected_Number_Format=Format_as_Hexadecimal,MID(V8,3,2),HEX2DEC(MID(V8,3,2))),Selected_Delimiter,IF(Selected_Number_Format=Format_as_Hexadecimal,MID(V8,5,2),HEX2DEC(MID(V8,5,2))))</f>
        <v>73,69,41</v>
      </c>
      <c r="F8" s="45" t="str">
        <f>CONCATENATE(IF(Selected_Number_Format=Format_as_Hexadecimal,MID(W8,1,2),HEX2DEC(MID(W8,1,2))),Selected_Delimiter,IF(Selected_Number_Format=Format_as_Hexadecimal,MID(W8,3,2),HEX2DEC(MID(W8,3,2))),Selected_Delimiter,IF(Selected_Number_Format=Format_as_Hexadecimal,MID(W8,5,2),HEX2DEC(MID(W8,5,2))))</f>
        <v>22,54,92</v>
      </c>
      <c r="G8" s="46" t="str">
        <f>CONCATENATE(IF(Selected_Number_Format=Format_as_Hexadecimal,MID(X8,1,2),HEX2DEC(MID(X8,1,2))),Selected_Delimiter,IF(Selected_Number_Format=Format_as_Hexadecimal,MID(X8,3,2),HEX2DEC(MID(X8,3,2))),Selected_Delimiter,IF(Selected_Number_Format=Format_as_Hexadecimal,MID(X8,5,2),HEX2DEC(MID(X8,5,2))))</f>
        <v>54,96,146</v>
      </c>
      <c r="H8" s="47" t="str">
        <f>CONCATENATE(IF(Selected_Number_Format=Format_as_Hexadecimal,MID(Y8,1,2),HEX2DEC(MID(Y8,1,2))),Selected_Delimiter,IF(Selected_Number_Format=Format_as_Hexadecimal,MID(Y8,3,2),HEX2DEC(MID(Y8,3,2))),Selected_Delimiter,IF(Selected_Number_Format=Format_as_Hexadecimal,MID(Y8,5,2),HEX2DEC(MID(Y8,5,2))))</f>
        <v>150,54,52</v>
      </c>
      <c r="I8" s="48" t="str">
        <f>CONCATENATE(IF(Selected_Number_Format=Format_as_Hexadecimal,MID(Z8,1,2),HEX2DEC(MID(Z8,1,2))),Selected_Delimiter,IF(Selected_Number_Format=Format_as_Hexadecimal,MID(Z8,3,2),HEX2DEC(MID(Z8,3,2))),Selected_Delimiter,IF(Selected_Number_Format=Format_as_Hexadecimal,MID(Z8,5,2),HEX2DEC(MID(Z8,5,2))))</f>
        <v>118,147,60</v>
      </c>
      <c r="J8" s="49" t="str">
        <f>CONCATENATE(IF(Selected_Number_Format=Format_as_Hexadecimal,MID(AA8,1,2),HEX2DEC(MID(AA8,1,2))),Selected_Delimiter,IF(Selected_Number_Format=Format_as_Hexadecimal,MID(AA8,3,2),HEX2DEC(MID(AA8,3,2))),Selected_Delimiter,IF(Selected_Number_Format=Format_as_Hexadecimal,MID(AA8,5,2),HEX2DEC(MID(AA8,5,2))))</f>
        <v>96,73,122</v>
      </c>
      <c r="K8" s="50" t="str">
        <f>CONCATENATE(IF(Selected_Number_Format=Format_as_Hexadecimal,MID(AB8,1,2),HEX2DEC(MID(AB8,1,2))),Selected_Delimiter,IF(Selected_Number_Format=Format_as_Hexadecimal,MID(AB8,3,2),HEX2DEC(MID(AB8,3,2))),Selected_Delimiter,IF(Selected_Number_Format=Format_as_Hexadecimal,MID(AB8,5,2),HEX2DEC(MID(AB8,5,2))))</f>
        <v>49,134,155</v>
      </c>
      <c r="L8" s="51" t="str">
        <f>CONCATENATE(IF(Selected_Number_Format=Format_as_Hexadecimal,MID(AC8,1,2),HEX2DEC(MID(AC8,1,2))),Selected_Delimiter,IF(Selected_Number_Format=Format_as_Hexadecimal,MID(AC8,3,2),HEX2DEC(MID(AC8,3,2))),Selected_Delimiter,IF(Selected_Number_Format=Format_as_Hexadecimal,MID(AC8,5,2),HEX2DEC(MID(AC8,5,2))))</f>
        <v>226,107,10</v>
      </c>
      <c r="T8" s="42" t="s">
        <v>63</v>
      </c>
      <c r="U8" s="43" t="s">
        <v>64</v>
      </c>
      <c r="V8" s="44" t="s">
        <v>65</v>
      </c>
      <c r="W8" s="45" t="s">
        <v>66</v>
      </c>
      <c r="X8" s="46" t="s">
        <v>67</v>
      </c>
      <c r="Y8" s="47" t="s">
        <v>68</v>
      </c>
      <c r="Z8" s="48" t="s">
        <v>69</v>
      </c>
      <c r="AA8" s="49" t="s">
        <v>70</v>
      </c>
      <c r="AB8" s="50" t="s">
        <v>71</v>
      </c>
      <c r="AC8" s="51" t="s">
        <v>72</v>
      </c>
    </row>
    <row r="9" spans="1:29" ht="18" x14ac:dyDescent="0.25">
      <c r="A9" s="80"/>
      <c r="C9" s="52" t="str">
        <f>CONCATENATE(IF(Selected_Number_Format=Format_as_Hexadecimal,MID(T9,1,2),HEX2DEC(MID(T9,1,2))),Selected_Delimiter,IF(Selected_Number_Format=Format_as_Hexadecimal,MID(T9,3,2),HEX2DEC(MID(T9,3,2))),Selected_Delimiter,IF(Selected_Number_Format=Format_as_Hexadecimal,MID(T9,5,2),HEX2DEC(MID(T9,5,2))))</f>
        <v>128,128,128</v>
      </c>
      <c r="D9" s="53" t="str">
        <f>CONCATENATE(IF(Selected_Number_Format=Format_as_Hexadecimal,MID(U9,1,2),HEX2DEC(MID(U9,1,2))),Selected_Delimiter,IF(Selected_Number_Format=Format_as_Hexadecimal,MID(U9,3,2),HEX2DEC(MID(U9,3,2))),Selected_Delimiter,IF(Selected_Number_Format=Format_as_Hexadecimal,MID(U9,5,2),HEX2DEC(MID(U9,5,2))))</f>
        <v>13,13,13</v>
      </c>
      <c r="E9" s="54" t="str">
        <f>CONCATENATE(IF(Selected_Number_Format=Format_as_Hexadecimal,MID(V9,1,2),HEX2DEC(MID(V9,1,2))),Selected_Delimiter,IF(Selected_Number_Format=Format_as_Hexadecimal,MID(V9,3,2),HEX2DEC(MID(V9,3,2))),Selected_Delimiter,IF(Selected_Number_Format=Format_as_Hexadecimal,MID(V9,5,2),HEX2DEC(MID(V9,5,2))))</f>
        <v>29,27,16</v>
      </c>
      <c r="F9" s="55" t="str">
        <f>CONCATENATE(IF(Selected_Number_Format=Format_as_Hexadecimal,MID(W9,1,2),HEX2DEC(MID(W9,1,2))),Selected_Delimiter,IF(Selected_Number_Format=Format_as_Hexadecimal,MID(W9,3,2),HEX2DEC(MID(W9,3,2))),Selected_Delimiter,IF(Selected_Number_Format=Format_as_Hexadecimal,MID(W9,5,2),HEX2DEC(MID(W9,5,2))))</f>
        <v>15,36,62</v>
      </c>
      <c r="G9" s="56" t="str">
        <f>CONCATENATE(IF(Selected_Number_Format=Format_as_Hexadecimal,MID(X9,1,2),HEX2DEC(MID(X9,1,2))),Selected_Delimiter,IF(Selected_Number_Format=Format_as_Hexadecimal,MID(X9,3,2),HEX2DEC(MID(X9,3,2))),Selected_Delimiter,IF(Selected_Number_Format=Format_as_Hexadecimal,MID(X9,5,2),HEX2DEC(MID(X9,5,2))))</f>
        <v>36,64,98</v>
      </c>
      <c r="H9" s="57" t="str">
        <f>CONCATENATE(IF(Selected_Number_Format=Format_as_Hexadecimal,MID(Y9,1,2),HEX2DEC(MID(Y9,1,2))),Selected_Delimiter,IF(Selected_Number_Format=Format_as_Hexadecimal,MID(Y9,3,2),HEX2DEC(MID(Y9,3,2))),Selected_Delimiter,IF(Selected_Number_Format=Format_as_Hexadecimal,MID(Y9,5,2),HEX2DEC(MID(Y9,5,2))))</f>
        <v>99,37,35</v>
      </c>
      <c r="I9" s="58" t="str">
        <f>CONCATENATE(IF(Selected_Number_Format=Format_as_Hexadecimal,MID(Z9,1,2),HEX2DEC(MID(Z9,1,2))),Selected_Delimiter,IF(Selected_Number_Format=Format_as_Hexadecimal,MID(Z9,3,2),HEX2DEC(MID(Z9,3,2))),Selected_Delimiter,IF(Selected_Number_Format=Format_as_Hexadecimal,MID(Z9,5,2),HEX2DEC(MID(Z9,5,2))))</f>
        <v>79,98,40</v>
      </c>
      <c r="J9" s="59" t="str">
        <f>CONCATENATE(IF(Selected_Number_Format=Format_as_Hexadecimal,MID(AA9,1,2),HEX2DEC(MID(AA9,1,2))),Selected_Delimiter,IF(Selected_Number_Format=Format_as_Hexadecimal,MID(AA9,3,2),HEX2DEC(MID(AA9,3,2))),Selected_Delimiter,IF(Selected_Number_Format=Format_as_Hexadecimal,MID(AA9,5,2),HEX2DEC(MID(AA9,5,2))))</f>
        <v>64,49,81</v>
      </c>
      <c r="K9" s="60" t="str">
        <f>CONCATENATE(IF(Selected_Number_Format=Format_as_Hexadecimal,MID(AB9,1,2),HEX2DEC(MID(AB9,1,2))),Selected_Delimiter,IF(Selected_Number_Format=Format_as_Hexadecimal,MID(AB9,3,2),HEX2DEC(MID(AB9,3,2))),Selected_Delimiter,IF(Selected_Number_Format=Format_as_Hexadecimal,MID(AB9,5,2),HEX2DEC(MID(AB9,5,2))))</f>
        <v>33,89,103</v>
      </c>
      <c r="L9" s="61" t="str">
        <f>CONCATENATE(IF(Selected_Number_Format=Format_as_Hexadecimal,MID(AC9,1,2),HEX2DEC(MID(AC9,1,2))),Selected_Delimiter,IF(Selected_Number_Format=Format_as_Hexadecimal,MID(AC9,3,2),HEX2DEC(MID(AC9,3,2))),Selected_Delimiter,IF(Selected_Number_Format=Format_as_Hexadecimal,MID(AC9,5,2),HEX2DEC(MID(AC9,5,2))))</f>
        <v>151,71,6</v>
      </c>
      <c r="T9" s="52" t="s">
        <v>34</v>
      </c>
      <c r="U9" s="53" t="s">
        <v>73</v>
      </c>
      <c r="V9" s="54" t="s">
        <v>74</v>
      </c>
      <c r="W9" s="55" t="s">
        <v>75</v>
      </c>
      <c r="X9" s="56" t="s">
        <v>76</v>
      </c>
      <c r="Y9" s="57" t="s">
        <v>77</v>
      </c>
      <c r="Z9" s="58" t="s">
        <v>78</v>
      </c>
      <c r="AA9" s="59" t="s">
        <v>79</v>
      </c>
      <c r="AB9" s="60" t="s">
        <v>80</v>
      </c>
      <c r="AC9" s="61" t="s">
        <v>81</v>
      </c>
    </row>
    <row r="10" spans="1:29" ht="18" x14ac:dyDescent="0.25">
      <c r="A10" s="80"/>
      <c r="C10" s="82" t="s">
        <v>2</v>
      </c>
      <c r="D10" s="82"/>
      <c r="E10" s="82"/>
      <c r="F10" s="82"/>
      <c r="G10" s="82"/>
      <c r="H10" s="82"/>
      <c r="I10" s="82"/>
      <c r="J10" s="82"/>
      <c r="K10" s="82"/>
      <c r="L10" s="82"/>
      <c r="T10" s="82" t="s">
        <v>2</v>
      </c>
      <c r="U10" s="82"/>
      <c r="V10" s="82"/>
      <c r="W10" s="82"/>
      <c r="X10" s="82"/>
      <c r="Y10" s="82"/>
      <c r="Z10" s="82"/>
      <c r="AA10" s="82"/>
      <c r="AB10" s="82"/>
      <c r="AC10" s="82"/>
    </row>
    <row r="11" spans="1:29" ht="18" x14ac:dyDescent="0.25">
      <c r="A11" s="80"/>
      <c r="C11" s="17" t="str">
        <f>CONCATENATE(IF(Selected_Number_Format=Format_as_Hexadecimal,MID(T11,1,2),HEX2DEC(MID(T11,1,2))),Selected_Delimiter,IF(Selected_Number_Format=Format_as_Hexadecimal,MID(T11,3,2),HEX2DEC(MID(T11,3,2))),Selected_Delimiter,IF(Selected_Number_Format=Format_as_Hexadecimal,MID(T11,5,2),HEX2DEC(MID(T11,5,2))))</f>
        <v>192,0,0</v>
      </c>
      <c r="D11" s="18" t="str">
        <f>CONCATENATE(IF(Selected_Number_Format=Format_as_Hexadecimal,MID(U11,1,2),HEX2DEC(MID(U11,1,2))),Selected_Delimiter,IF(Selected_Number_Format=Format_as_Hexadecimal,MID(U11,3,2),HEX2DEC(MID(U11,3,2))),Selected_Delimiter,IF(Selected_Number_Format=Format_as_Hexadecimal,MID(U11,5,2),HEX2DEC(MID(U11,5,2))))</f>
        <v>255,0,0</v>
      </c>
      <c r="E11" s="19" t="str">
        <f>CONCATENATE(IF(Selected_Number_Format=Format_as_Hexadecimal,MID(V11,1,2),HEX2DEC(MID(V11,1,2))),Selected_Delimiter,IF(Selected_Number_Format=Format_as_Hexadecimal,MID(V11,3,2),HEX2DEC(MID(V11,3,2))),Selected_Delimiter,IF(Selected_Number_Format=Format_as_Hexadecimal,MID(V11,5,2),HEX2DEC(MID(V11,5,2))))</f>
        <v>255,192,0</v>
      </c>
      <c r="F11" s="20" t="str">
        <f>CONCATENATE(IF(Selected_Number_Format=Format_as_Hexadecimal,MID(W11,1,2),HEX2DEC(MID(W11,1,2))),Selected_Delimiter,IF(Selected_Number_Format=Format_as_Hexadecimal,MID(W11,3,2),HEX2DEC(MID(W11,3,2))),Selected_Delimiter,IF(Selected_Number_Format=Format_as_Hexadecimal,MID(W11,5,2),HEX2DEC(MID(W11,5,2))))</f>
        <v>255,255,0</v>
      </c>
      <c r="G11" s="21" t="str">
        <f>CONCATENATE(IF(Selected_Number_Format=Format_as_Hexadecimal,MID(X11,1,2),HEX2DEC(MID(X11,1,2))),Selected_Delimiter,IF(Selected_Number_Format=Format_as_Hexadecimal,MID(X11,3,2),HEX2DEC(MID(X11,3,2))),Selected_Delimiter,IF(Selected_Number_Format=Format_as_Hexadecimal,MID(X11,5,2),HEX2DEC(MID(X11,5,2))))</f>
        <v>146,208,80</v>
      </c>
      <c r="H11" s="22" t="str">
        <f>CONCATENATE(IF(Selected_Number_Format=Format_as_Hexadecimal,MID(Y11,1,2),HEX2DEC(MID(Y11,1,2))),Selected_Delimiter,IF(Selected_Number_Format=Format_as_Hexadecimal,MID(Y11,3,2),HEX2DEC(MID(Y11,3,2))),Selected_Delimiter,IF(Selected_Number_Format=Format_as_Hexadecimal,MID(Y11,5,2),HEX2DEC(MID(Y11,5,2))))</f>
        <v>0,176,80</v>
      </c>
      <c r="I11" s="23" t="str">
        <f>CONCATENATE(IF(Selected_Number_Format=Format_as_Hexadecimal,MID(Z11,1,2),HEX2DEC(MID(Z11,1,2))),Selected_Delimiter,IF(Selected_Number_Format=Format_as_Hexadecimal,MID(Z11,3,2),HEX2DEC(MID(Z11,3,2))),Selected_Delimiter,IF(Selected_Number_Format=Format_as_Hexadecimal,MID(Z11,5,2),HEX2DEC(MID(Z11,5,2))))</f>
        <v>0,176,240</v>
      </c>
      <c r="J11" s="24" t="str">
        <f>CONCATENATE(IF(Selected_Number_Format=Format_as_Hexadecimal,MID(AA11,1,2),HEX2DEC(MID(AA11,1,2))),Selected_Delimiter,IF(Selected_Number_Format=Format_as_Hexadecimal,MID(AA11,3,2),HEX2DEC(MID(AA11,3,2))),Selected_Delimiter,IF(Selected_Number_Format=Format_as_Hexadecimal,MID(AA11,5,2),HEX2DEC(MID(AA11,5,2))))</f>
        <v>0,112,192</v>
      </c>
      <c r="K11" s="40" t="str">
        <f>CONCATENATE(IF(Selected_Number_Format=Format_as_Hexadecimal,MID(AB11,1,2),HEX2DEC(MID(AB11,1,2))),Selected_Delimiter,IF(Selected_Number_Format=Format_as_Hexadecimal,MID(AB11,3,2),HEX2DEC(MID(AB11,3,2))),Selected_Delimiter,IF(Selected_Number_Format=Format_as_Hexadecimal,MID(AB11,5,2),HEX2DEC(MID(AB11,5,2))))</f>
        <v>0,32,96</v>
      </c>
      <c r="L11" s="41" t="str">
        <f>CONCATENATE(IF(Selected_Number_Format=Format_as_Hexadecimal,MID(AC11,1,2),HEX2DEC(MID(AC11,1,2))),Selected_Delimiter,IF(Selected_Number_Format=Format_as_Hexadecimal,MID(AC11,3,2),HEX2DEC(MID(AC11,3,2))),Selected_Delimiter,IF(Selected_Number_Format=Format_as_Hexadecimal,MID(AC11,5,2),HEX2DEC(MID(AC11,5,2))))</f>
        <v>112,48,160</v>
      </c>
      <c r="T11" s="17" t="s">
        <v>82</v>
      </c>
      <c r="U11" s="18" t="s">
        <v>83</v>
      </c>
      <c r="V11" s="19" t="s">
        <v>84</v>
      </c>
      <c r="W11" s="20" t="s">
        <v>85</v>
      </c>
      <c r="X11" s="21" t="s">
        <v>86</v>
      </c>
      <c r="Y11" s="22" t="s">
        <v>87</v>
      </c>
      <c r="Z11" s="23" t="s">
        <v>88</v>
      </c>
      <c r="AA11" s="24" t="s">
        <v>89</v>
      </c>
      <c r="AB11" s="40" t="s">
        <v>90</v>
      </c>
      <c r="AC11" s="41" t="s">
        <v>91</v>
      </c>
    </row>
    <row r="12" spans="1:29" x14ac:dyDescent="0.25">
      <c r="A12" s="80"/>
      <c r="M12" s="83" t="s">
        <v>102</v>
      </c>
      <c r="N12" s="86" t="str">
        <f>VLOOKUP(Select_Display_Format,Display_Formats_Map_Data,MATCH(Number_Format,Display_Formats_Map_Labels,0),FALSE)</f>
        <v>Decimal</v>
      </c>
      <c r="O12" s="86">
        <f>VLOOKUP(Select_Display_Format,Display_Formats_Map_Data,MATCH(Display_Format_IDs,Display_Formats_Map_Labels,0),FALSE)</f>
        <v>5</v>
      </c>
      <c r="P12" s="83" t="s">
        <v>104</v>
      </c>
      <c r="Q12" s="87" t="str">
        <f>VLOOKUP(Select_Display_Format,Display_Formats_Map_Data,
MATCH(Delimiter_Column_Label,Display_Formats_Map_Labels,0),FALSE)</f>
        <v>,</v>
      </c>
    </row>
    <row r="13" spans="1:29" ht="18" x14ac:dyDescent="0.25">
      <c r="A13" s="80"/>
      <c r="C13" s="88" t="s">
        <v>3</v>
      </c>
      <c r="D13" s="88"/>
      <c r="E13" s="88"/>
      <c r="F13" s="91" t="s">
        <v>8</v>
      </c>
      <c r="G13" s="91"/>
      <c r="H13" s="91"/>
      <c r="I13" s="89"/>
      <c r="J13" s="89"/>
      <c r="K13" s="89"/>
      <c r="L13" s="89"/>
      <c r="M13" s="83" t="s">
        <v>10</v>
      </c>
      <c r="N13" s="83" t="s">
        <v>114</v>
      </c>
      <c r="O13" s="83" t="s">
        <v>93</v>
      </c>
      <c r="P13" s="83" t="s">
        <v>95</v>
      </c>
      <c r="Q13" s="83" t="s">
        <v>11</v>
      </c>
      <c r="R13" s="83" t="s">
        <v>92</v>
      </c>
    </row>
    <row r="14" spans="1:29" ht="18" x14ac:dyDescent="0.25">
      <c r="A14" s="80"/>
      <c r="F14" s="92" t="s">
        <v>4</v>
      </c>
      <c r="G14" s="92"/>
      <c r="H14" s="92"/>
      <c r="M14" s="73">
        <f>IF(ISNUMBER(M13),M13+1,1)</f>
        <v>1</v>
      </c>
      <c r="N14" s="73" t="s">
        <v>112</v>
      </c>
      <c r="O14" s="73"/>
      <c r="P14" s="73">
        <f>LEN(O14)</f>
        <v>0</v>
      </c>
      <c r="Q14" s="73" t="str">
        <f>SUBSTITUTE(SUBSTITUTE(F14,CHAR(32),""),",","")</f>
        <v>HexadecimalString</v>
      </c>
      <c r="R14" s="73" t="str">
        <f>CONCATENATE(Q14,"=",M14)</f>
        <v>HexadecimalString=1</v>
      </c>
    </row>
    <row r="15" spans="1:29" ht="18" x14ac:dyDescent="0.25">
      <c r="A15" s="80"/>
      <c r="F15" s="93" t="s">
        <v>5</v>
      </c>
      <c r="G15" s="93"/>
      <c r="H15" s="93"/>
      <c r="M15" s="73">
        <f>IF(ISNUMBER(M14),M14+1,1)</f>
        <v>2</v>
      </c>
      <c r="N15" s="73" t="s">
        <v>112</v>
      </c>
      <c r="O15" s="73" t="str">
        <f>CHAR(32)</f>
        <v xml:space="preserve"> </v>
      </c>
      <c r="P15" s="73">
        <f t="shared" ref="P15:P18" si="0">LEN(O15)</f>
        <v>1</v>
      </c>
      <c r="Q15" s="73" t="str">
        <f>SUBSTITUTE(SUBSTITUTE(F15,CHAR(32),""),",","")</f>
        <v>HexadecimalTripletSpaceDelimited</v>
      </c>
      <c r="R15" s="73" t="str">
        <f>CONCATENATE(Q15,"=",M15)</f>
        <v>HexadecimalTripletSpaceDelimited=2</v>
      </c>
    </row>
    <row r="16" spans="1:29" ht="18" x14ac:dyDescent="0.25">
      <c r="A16" s="80"/>
      <c r="F16" s="93" t="s">
        <v>6</v>
      </c>
      <c r="G16" s="93"/>
      <c r="H16" s="93"/>
      <c r="M16" s="73">
        <f>IF(ISNUMBER(M15),M15+1,1)</f>
        <v>3</v>
      </c>
      <c r="N16" s="73" t="s">
        <v>113</v>
      </c>
      <c r="O16" s="73" t="str">
        <f>CHAR(32)</f>
        <v xml:space="preserve"> </v>
      </c>
      <c r="P16" s="73">
        <f t="shared" si="0"/>
        <v>1</v>
      </c>
      <c r="Q16" s="73" t="str">
        <f>SUBSTITUTE(SUBSTITUTE(F16,CHAR(32),""),",","")</f>
        <v>DecimalTripletSpaceDelimited</v>
      </c>
      <c r="R16" s="73" t="str">
        <f>CONCATENATE(Q16,"=",M16)</f>
        <v>DecimalTripletSpaceDelimited=3</v>
      </c>
    </row>
    <row r="17" spans="1:18" ht="18" x14ac:dyDescent="0.25">
      <c r="A17" s="80"/>
      <c r="F17" s="93" t="s">
        <v>7</v>
      </c>
      <c r="G17" s="93"/>
      <c r="H17" s="93"/>
      <c r="M17" s="73">
        <f>IF(ISNUMBER(M16),M16+1,1)</f>
        <v>4</v>
      </c>
      <c r="N17" s="73" t="s">
        <v>112</v>
      </c>
      <c r="O17" s="73" t="s">
        <v>94</v>
      </c>
      <c r="P17" s="73">
        <f t="shared" si="0"/>
        <v>1</v>
      </c>
      <c r="Q17" s="73" t="str">
        <f>SUBSTITUTE(SUBSTITUTE(F17,CHAR(32),""),",","")</f>
        <v>HexadecimalTripletCommaDelimited</v>
      </c>
      <c r="R17" s="73" t="str">
        <f>CONCATENATE(Q17,"=",M17)</f>
        <v>HexadecimalTripletCommaDelimited=4</v>
      </c>
    </row>
    <row r="18" spans="1:18" ht="18" x14ac:dyDescent="0.25">
      <c r="A18" s="80"/>
      <c r="F18" s="93" t="s">
        <v>8</v>
      </c>
      <c r="G18" s="93"/>
      <c r="H18" s="93"/>
      <c r="M18" s="73">
        <f>IF(ISNUMBER(M17),M17+1,1)</f>
        <v>5</v>
      </c>
      <c r="N18" s="73" t="s">
        <v>113</v>
      </c>
      <c r="O18" s="73" t="s">
        <v>94</v>
      </c>
      <c r="P18" s="73">
        <f t="shared" si="0"/>
        <v>1</v>
      </c>
      <c r="Q18" s="73" t="str">
        <f>SUBSTITUTE(SUBSTITUTE(F18,CHAR(32),""),",","")</f>
        <v>DecimalTripletCommaDelimited</v>
      </c>
      <c r="R18" s="73" t="str">
        <f>CONCATENATE(Q18,"=",M18)</f>
        <v>DecimalTripletCommaDelimited=5</v>
      </c>
    </row>
    <row r="20" spans="1:18" x14ac:dyDescent="0.25">
      <c r="C20" s="79" t="s">
        <v>117</v>
      </c>
      <c r="Q20" s="90" t="str">
        <f>Delimiter_Column_Label</f>
        <v>Delimiter</v>
      </c>
    </row>
    <row r="21" spans="1:18" x14ac:dyDescent="0.25">
      <c r="C21" s="79" t="s">
        <v>113</v>
      </c>
      <c r="Q21" t="str">
        <f>Select_Display_Format</f>
        <v>Decimal Triplet, Comma Delimited</v>
      </c>
    </row>
    <row r="22" spans="1:18" x14ac:dyDescent="0.25">
      <c r="C22" s="79" t="s">
        <v>112</v>
      </c>
    </row>
  </sheetData>
  <sheetProtection password="A871" sheet="1" objects="1" scenarios="1"/>
  <mergeCells count="12">
    <mergeCell ref="T2:AC2"/>
    <mergeCell ref="T10:AC10"/>
    <mergeCell ref="F13:H13"/>
    <mergeCell ref="A4:A18"/>
    <mergeCell ref="C2:L2"/>
    <mergeCell ref="C10:L10"/>
    <mergeCell ref="C13:E13"/>
    <mergeCell ref="F14:H14"/>
    <mergeCell ref="F15:H15"/>
    <mergeCell ref="F16:H16"/>
    <mergeCell ref="F17:H17"/>
    <mergeCell ref="F18:H18"/>
  </mergeCells>
  <dataValidations count="1">
    <dataValidation type="list" allowBlank="1" showInputMessage="1" showErrorMessage="1" sqref="F13:H13">
      <formula1>Supported_Display_Fromats</formula1>
    </dataValidation>
  </dataValidation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Index of Named Ranges</vt:lpstr>
      <vt:lpstr>Standard Office RGB Color Codes</vt:lpstr>
      <vt:lpstr>Delimiter_Column_Label</vt:lpstr>
      <vt:lpstr>Display_Format_ID</vt:lpstr>
      <vt:lpstr>Display_Format_IDs</vt:lpstr>
      <vt:lpstr>Display_Formats_Map_Data</vt:lpstr>
      <vt:lpstr>Display_Formats_Map_Labels</vt:lpstr>
      <vt:lpstr>Format_as_Decimal</vt:lpstr>
      <vt:lpstr>Format_as_Hexadecimal</vt:lpstr>
      <vt:lpstr>Index_of_Supported_Display_Fromats</vt:lpstr>
      <vt:lpstr>Number_Format</vt:lpstr>
      <vt:lpstr>Select_Display_Format</vt:lpstr>
      <vt:lpstr>Selected_Delimiter</vt:lpstr>
      <vt:lpstr>Selected_Display_Format_ID</vt:lpstr>
      <vt:lpstr>Selected_Number_Format</vt:lpstr>
      <vt:lpstr>Supported_Display_Fromats</vt:lpstr>
      <vt:lpstr>Valid_Number_Formats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Color Combinations</dc:title>
  <dc:subject>Working with Text and Background Colors</dc:subject>
  <dc:creator>David A. Gray</dc:creator>
  <cp:lastModifiedBy>David A. Gray</cp:lastModifiedBy>
  <dcterms:created xsi:type="dcterms:W3CDTF">2015-09-18T19:54:44Z</dcterms:created>
  <dcterms:modified xsi:type="dcterms:W3CDTF">2015-09-20T20:20:00Z</dcterms:modified>
</cp:coreProperties>
</file>